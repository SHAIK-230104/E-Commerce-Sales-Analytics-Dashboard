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yash\Downloads\"/>
    </mc:Choice>
  </mc:AlternateContent>
  <xr:revisionPtr revIDLastSave="0" documentId="8_{C6463E06-3018-4DF3-8B18-B4E80F890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List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6" i="1" s="1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" i="3"/>
  <c r="C22" i="1"/>
  <c r="B22" i="1"/>
  <c r="C21" i="1"/>
  <c r="B21" i="1"/>
  <c r="D21" i="1" s="1"/>
  <c r="C20" i="1"/>
  <c r="B20" i="1"/>
  <c r="D20" i="1" s="1"/>
  <c r="D19" i="1"/>
  <c r="C19" i="1"/>
  <c r="B19" i="1"/>
  <c r="N18" i="1"/>
  <c r="M18" i="1"/>
  <c r="C18" i="1"/>
  <c r="B18" i="1"/>
  <c r="D18" i="1" s="1"/>
  <c r="N17" i="1"/>
  <c r="M17" i="1"/>
  <c r="C17" i="1"/>
  <c r="B17" i="1"/>
  <c r="D17" i="1" s="1"/>
  <c r="N16" i="1"/>
  <c r="M16" i="1"/>
  <c r="C16" i="1"/>
  <c r="B16" i="1"/>
  <c r="D16" i="1" s="1"/>
  <c r="N15" i="1"/>
  <c r="M15" i="1"/>
  <c r="G15" i="1"/>
  <c r="C15" i="1"/>
  <c r="B15" i="1"/>
  <c r="D15" i="1" s="1"/>
  <c r="N14" i="1"/>
  <c r="M14" i="1"/>
  <c r="J14" i="1"/>
  <c r="G14" i="1"/>
  <c r="C14" i="1"/>
  <c r="B14" i="1"/>
  <c r="D14" i="1" s="1"/>
  <c r="N13" i="1"/>
  <c r="M13" i="1"/>
  <c r="G13" i="1"/>
  <c r="C13" i="1"/>
  <c r="B13" i="1"/>
  <c r="D13" i="1" s="1"/>
  <c r="N12" i="1"/>
  <c r="M12" i="1"/>
  <c r="J12" i="1"/>
  <c r="G12" i="1"/>
  <c r="C12" i="1"/>
  <c r="B12" i="1"/>
  <c r="D12" i="1" s="1"/>
  <c r="N11" i="1"/>
  <c r="M11" i="1"/>
  <c r="J11" i="1"/>
  <c r="G11" i="1"/>
  <c r="C11" i="1"/>
  <c r="B11" i="1"/>
  <c r="D11" i="1" s="1"/>
  <c r="M6" i="1"/>
  <c r="J6" i="1"/>
  <c r="D6" i="1"/>
  <c r="A6" i="1"/>
  <c r="A25" i="1" l="1"/>
  <c r="D22" i="1"/>
</calcChain>
</file>

<file path=xl/sharedStrings.xml><?xml version="1.0" encoding="utf-8"?>
<sst xmlns="http://schemas.openxmlformats.org/spreadsheetml/2006/main" count="7884" uniqueCount="1861">
  <si>
    <t>E-COMMERCE SALES DASHBOARD</t>
  </si>
  <si>
    <t>Portfolio Project • Synthetic FY2025 Dataset</t>
  </si>
  <si>
    <t>FY2025 performance overview • Revenue, orders, customers, products, regions &amp; monthly trends</t>
  </si>
  <si>
    <t>Total Revenue</t>
  </si>
  <si>
    <t>Total Orders</t>
  </si>
  <si>
    <t>Unique Customers</t>
  </si>
  <si>
    <t>Avg Order Value</t>
  </si>
  <si>
    <t>Units Sold</t>
  </si>
  <si>
    <t>Month</t>
  </si>
  <si>
    <t>Revenue</t>
  </si>
  <si>
    <t>Orders</t>
  </si>
  <si>
    <t>AOV</t>
  </si>
  <si>
    <t>Category</t>
  </si>
  <si>
    <t>Region</t>
  </si>
  <si>
    <t>Product Mix</t>
  </si>
  <si>
    <t>Units</t>
  </si>
  <si>
    <t>Jan</t>
  </si>
  <si>
    <t>Electronics</t>
  </si>
  <si>
    <t>North</t>
  </si>
  <si>
    <t>Wireless Headphones</t>
  </si>
  <si>
    <t>Feb</t>
  </si>
  <si>
    <t>Fashion</t>
  </si>
  <si>
    <t>South</t>
  </si>
  <si>
    <t>Smart Watch</t>
  </si>
  <si>
    <t>Mar</t>
  </si>
  <si>
    <t>Home &amp; Kitchen</t>
  </si>
  <si>
    <t>East</t>
  </si>
  <si>
    <t>Bluetooth Speaker</t>
  </si>
  <si>
    <t>Apr</t>
  </si>
  <si>
    <t>Beauty</t>
  </si>
  <si>
    <t>West</t>
  </si>
  <si>
    <t>Running Shoes</t>
  </si>
  <si>
    <t>May</t>
  </si>
  <si>
    <t>Sports</t>
  </si>
  <si>
    <t>Yoga Mat</t>
  </si>
  <si>
    <t>Jun</t>
  </si>
  <si>
    <t>Coffee Maker</t>
  </si>
  <si>
    <t>Jul</t>
  </si>
  <si>
    <t>Air Fryer</t>
  </si>
  <si>
    <t>Aug</t>
  </si>
  <si>
    <t>Backpack</t>
  </si>
  <si>
    <t>Sep</t>
  </si>
  <si>
    <t>Oct</t>
  </si>
  <si>
    <t>Nov</t>
  </si>
  <si>
    <t>Dec</t>
  </si>
  <si>
    <t>EXECUTIVE INSIGHTS</t>
  </si>
  <si>
    <t>Order ID</t>
  </si>
  <si>
    <t>Order Date</t>
  </si>
  <si>
    <t>Customer ID</t>
  </si>
  <si>
    <t>Product</t>
  </si>
  <si>
    <t>Quantity</t>
  </si>
  <si>
    <t>Unit Price</t>
  </si>
  <si>
    <t>Discount</t>
  </si>
  <si>
    <t>Channel</t>
  </si>
  <si>
    <t>ORD-00001</t>
  </si>
  <si>
    <t>CUST-0143</t>
  </si>
  <si>
    <t>Marketplace</t>
  </si>
  <si>
    <t>ORD-00002</t>
  </si>
  <si>
    <t>CUST-0224</t>
  </si>
  <si>
    <t>ORD-00003</t>
  </si>
  <si>
    <t>CUST-0430</t>
  </si>
  <si>
    <t>Mobile App</t>
  </si>
  <si>
    <t>ORD-00004</t>
  </si>
  <si>
    <t>CUST-0433</t>
  </si>
  <si>
    <t>ORD-00005</t>
  </si>
  <si>
    <t>CUST-0390</t>
  </si>
  <si>
    <t>ORD-00006</t>
  </si>
  <si>
    <t>CUST-0550</t>
  </si>
  <si>
    <t>Skincare Set</t>
  </si>
  <si>
    <t>ORD-00007</t>
  </si>
  <si>
    <t>CUST-0592</t>
  </si>
  <si>
    <t>Sneakers</t>
  </si>
  <si>
    <t>ORD-00008</t>
  </si>
  <si>
    <t>CUST-0239</t>
  </si>
  <si>
    <t>ORD-00009</t>
  </si>
  <si>
    <t>CUST-0364</t>
  </si>
  <si>
    <t>ORD-00010</t>
  </si>
  <si>
    <t>CUST-0176</t>
  </si>
  <si>
    <t>Desk Lamp</t>
  </si>
  <si>
    <t>Website</t>
  </si>
  <si>
    <t>ORD-00011</t>
  </si>
  <si>
    <t>CUST-0225</t>
  </si>
  <si>
    <t>ORD-00012</t>
  </si>
  <si>
    <t>CUST-0217</t>
  </si>
  <si>
    <t>ORD-00013</t>
  </si>
  <si>
    <t>CUST-0147</t>
  </si>
  <si>
    <t>ORD-00014</t>
  </si>
  <si>
    <t>CUST-0439</t>
  </si>
  <si>
    <t>ORD-00015</t>
  </si>
  <si>
    <t>CUST-0113</t>
  </si>
  <si>
    <t>ORD-00016</t>
  </si>
  <si>
    <t>CUST-0480</t>
  </si>
  <si>
    <t>Hair Dryer</t>
  </si>
  <si>
    <t>ORD-00017</t>
  </si>
  <si>
    <t>CUST-0274</t>
  </si>
  <si>
    <t>ORD-00018</t>
  </si>
  <si>
    <t>CUST-0513</t>
  </si>
  <si>
    <t>ORD-00019</t>
  </si>
  <si>
    <t>CUST-0204</t>
  </si>
  <si>
    <t>ORD-00020</t>
  </si>
  <si>
    <t>CUST-0332</t>
  </si>
  <si>
    <t>ORD-00021</t>
  </si>
  <si>
    <t>CUST-0246</t>
  </si>
  <si>
    <t>ORD-00022</t>
  </si>
  <si>
    <t>CUST-0546</t>
  </si>
  <si>
    <t>ORD-00023</t>
  </si>
  <si>
    <t>CUST-0434</t>
  </si>
  <si>
    <t>ORD-00024</t>
  </si>
  <si>
    <t>CUST-0449</t>
  </si>
  <si>
    <t>ORD-00025</t>
  </si>
  <si>
    <t>CUST-0236</t>
  </si>
  <si>
    <t>ORD-00026</t>
  </si>
  <si>
    <t>CUST-0339</t>
  </si>
  <si>
    <t>ORD-00027</t>
  </si>
  <si>
    <t>CUST-0585</t>
  </si>
  <si>
    <t>ORD-00028</t>
  </si>
  <si>
    <t>CUST-0363</t>
  </si>
  <si>
    <t>ORD-00029</t>
  </si>
  <si>
    <t>CUST-0063</t>
  </si>
  <si>
    <t>ORD-00030</t>
  </si>
  <si>
    <t>CUST-0144</t>
  </si>
  <si>
    <t>ORD-00031</t>
  </si>
  <si>
    <t>CUST-0564</t>
  </si>
  <si>
    <t>ORD-00032</t>
  </si>
  <si>
    <t>CUST-0171</t>
  </si>
  <si>
    <t>ORD-00033</t>
  </si>
  <si>
    <t>CUST-0389</t>
  </si>
  <si>
    <t>ORD-00034</t>
  </si>
  <si>
    <t>CUST-0499</t>
  </si>
  <si>
    <t>ORD-00035</t>
  </si>
  <si>
    <t>ORD-00036</t>
  </si>
  <si>
    <t>CUST-0162</t>
  </si>
  <si>
    <t>ORD-00037</t>
  </si>
  <si>
    <t>CUST-0414</t>
  </si>
  <si>
    <t>ORD-00038</t>
  </si>
  <si>
    <t>CUST-0598</t>
  </si>
  <si>
    <t>ORD-00039</t>
  </si>
  <si>
    <t>CUST-0135</t>
  </si>
  <si>
    <t>ORD-00040</t>
  </si>
  <si>
    <t>CUST-0103</t>
  </si>
  <si>
    <t>ORD-00041</t>
  </si>
  <si>
    <t>CUST-0251</t>
  </si>
  <si>
    <t>ORD-00042</t>
  </si>
  <si>
    <t>CUST-0542</t>
  </si>
  <si>
    <t>ORD-00043</t>
  </si>
  <si>
    <t>CUST-0271</t>
  </si>
  <si>
    <t>ORD-00044</t>
  </si>
  <si>
    <t>CUST-0209</t>
  </si>
  <si>
    <t>ORD-00045</t>
  </si>
  <si>
    <t>ORD-00046</t>
  </si>
  <si>
    <t>CUST-0166</t>
  </si>
  <si>
    <t>ORD-00047</t>
  </si>
  <si>
    <t>CUST-0559</t>
  </si>
  <si>
    <t>ORD-00048</t>
  </si>
  <si>
    <t>CUST-0374</t>
  </si>
  <si>
    <t>ORD-00049</t>
  </si>
  <si>
    <t>CUST-0417</t>
  </si>
  <si>
    <t>ORD-00050</t>
  </si>
  <si>
    <t>CUST-0422</t>
  </si>
  <si>
    <t>ORD-00051</t>
  </si>
  <si>
    <t>CUST-0228</t>
  </si>
  <si>
    <t>ORD-00052</t>
  </si>
  <si>
    <t>CUST-0025</t>
  </si>
  <si>
    <t>ORD-00053</t>
  </si>
  <si>
    <t>CUST-0360</t>
  </si>
  <si>
    <t>ORD-00054</t>
  </si>
  <si>
    <t>CUST-0183</t>
  </si>
  <si>
    <t>ORD-00055</t>
  </si>
  <si>
    <t>CUST-0447</t>
  </si>
  <si>
    <t>ORD-00056</t>
  </si>
  <si>
    <t>CUST-0533</t>
  </si>
  <si>
    <t>ORD-00057</t>
  </si>
  <si>
    <t>CUST-0322</t>
  </si>
  <si>
    <t>ORD-00058</t>
  </si>
  <si>
    <t>CUST-0303</t>
  </si>
  <si>
    <t>ORD-00059</t>
  </si>
  <si>
    <t>CUST-0583</t>
  </si>
  <si>
    <t>ORD-00060</t>
  </si>
  <si>
    <t>CUST-0330</t>
  </si>
  <si>
    <t>ORD-00061</t>
  </si>
  <si>
    <t>CUST-0087</t>
  </si>
  <si>
    <t>ORD-00062</t>
  </si>
  <si>
    <t>CUST-0318</t>
  </si>
  <si>
    <t>ORD-00063</t>
  </si>
  <si>
    <t>CUST-0075</t>
  </si>
  <si>
    <t>ORD-00064</t>
  </si>
  <si>
    <t>CUST-0410</t>
  </si>
  <si>
    <t>ORD-00065</t>
  </si>
  <si>
    <t>CUST-0436</t>
  </si>
  <si>
    <t>ORD-00066</t>
  </si>
  <si>
    <t>CUST-0468</t>
  </si>
  <si>
    <t>ORD-00067</t>
  </si>
  <si>
    <t>CUST-0517</t>
  </si>
  <si>
    <t>ORD-00068</t>
  </si>
  <si>
    <t>CUST-0254</t>
  </si>
  <si>
    <t>ORD-00069</t>
  </si>
  <si>
    <t>CUST-0241</t>
  </si>
  <si>
    <t>ORD-00070</t>
  </si>
  <si>
    <t>CUST-0157</t>
  </si>
  <si>
    <t>ORD-00071</t>
  </si>
  <si>
    <t>CUST-0212</t>
  </si>
  <si>
    <t>ORD-00072</t>
  </si>
  <si>
    <t>ORD-00073</t>
  </si>
  <si>
    <t>CUST-0552</t>
  </si>
  <si>
    <t>ORD-00074</t>
  </si>
  <si>
    <t>CUST-0415</t>
  </si>
  <si>
    <t>ORD-00075</t>
  </si>
  <si>
    <t>CUST-0578</t>
  </si>
  <si>
    <t>ORD-00076</t>
  </si>
  <si>
    <t>CUST-0267</t>
  </si>
  <si>
    <t>ORD-00077</t>
  </si>
  <si>
    <t>CUST-0285</t>
  </si>
  <si>
    <t>ORD-00078</t>
  </si>
  <si>
    <t>CUST-0230</t>
  </si>
  <si>
    <t>ORD-00079</t>
  </si>
  <si>
    <t>ORD-00080</t>
  </si>
  <si>
    <t>CUST-0263</t>
  </si>
  <si>
    <t>ORD-00081</t>
  </si>
  <si>
    <t>CUST-0319</t>
  </si>
  <si>
    <t>ORD-00082</t>
  </si>
  <si>
    <t>CUST-0407</t>
  </si>
  <si>
    <t>ORD-00083</t>
  </si>
  <si>
    <t>CUST-0124</t>
  </si>
  <si>
    <t>ORD-00084</t>
  </si>
  <si>
    <t>CUST-0013</t>
  </si>
  <si>
    <t>ORD-00085</t>
  </si>
  <si>
    <t>ORD-00086</t>
  </si>
  <si>
    <t>CUST-0496</t>
  </si>
  <si>
    <t>ORD-00087</t>
  </si>
  <si>
    <t>CUST-0286</t>
  </si>
  <si>
    <t>ORD-00088</t>
  </si>
  <si>
    <t>CUST-0507</t>
  </si>
  <si>
    <t>ORD-00089</t>
  </si>
  <si>
    <t>CUST-0283</t>
  </si>
  <si>
    <t>ORD-00090</t>
  </si>
  <si>
    <t>CUST-0247</t>
  </si>
  <si>
    <t>ORD-00091</t>
  </si>
  <si>
    <t>CUST-0227</t>
  </si>
  <si>
    <t>ORD-00092</t>
  </si>
  <si>
    <t>CUST-0544</t>
  </si>
  <si>
    <t>ORD-00093</t>
  </si>
  <si>
    <t>CUST-0258</t>
  </si>
  <si>
    <t>ORD-00094</t>
  </si>
  <si>
    <t>CUST-0197</t>
  </si>
  <si>
    <t>ORD-00095</t>
  </si>
  <si>
    <t>CUST-0290</t>
  </si>
  <si>
    <t>ORD-00096</t>
  </si>
  <si>
    <t>CUST-0130</t>
  </si>
  <si>
    <t>ORD-00097</t>
  </si>
  <si>
    <t>CUST-0106</t>
  </si>
  <si>
    <t>ORD-00098</t>
  </si>
  <si>
    <t>CUST-0259</t>
  </si>
  <si>
    <t>ORD-00099</t>
  </si>
  <si>
    <t>CUST-0156</t>
  </si>
  <si>
    <t>ORD-00100</t>
  </si>
  <si>
    <t>CUST-0232</t>
  </si>
  <si>
    <t>ORD-00101</t>
  </si>
  <si>
    <t>ORD-00102</t>
  </si>
  <si>
    <t>CUST-0161</t>
  </si>
  <si>
    <t>ORD-00103</t>
  </si>
  <si>
    <t>CUST-0482</t>
  </si>
  <si>
    <t>ORD-00104</t>
  </si>
  <si>
    <t>CUST-0073</t>
  </si>
  <si>
    <t>ORD-00105</t>
  </si>
  <si>
    <t>CUST-0118</t>
  </si>
  <si>
    <t>ORD-00106</t>
  </si>
  <si>
    <t>CUST-0315</t>
  </si>
  <si>
    <t>ORD-00107</t>
  </si>
  <si>
    <t>ORD-00108</t>
  </si>
  <si>
    <t>CUST-0257</t>
  </si>
  <si>
    <t>ORD-00109</t>
  </si>
  <si>
    <t>CUST-0276</t>
  </si>
  <si>
    <t>ORD-00110</t>
  </si>
  <si>
    <t>CUST-0600</t>
  </si>
  <si>
    <t>ORD-00111</t>
  </si>
  <si>
    <t>CUST-0108</t>
  </si>
  <si>
    <t>ORD-00112</t>
  </si>
  <si>
    <t>ORD-00113</t>
  </si>
  <si>
    <t>CUST-0527</t>
  </si>
  <si>
    <t>ORD-00114</t>
  </si>
  <si>
    <t>CUST-0511</t>
  </si>
  <si>
    <t>ORD-00115</t>
  </si>
  <si>
    <t>CUST-0497</t>
  </si>
  <si>
    <t>ORD-00116</t>
  </si>
  <si>
    <t>CUST-0565</t>
  </si>
  <si>
    <t>ORD-00117</t>
  </si>
  <si>
    <t>CUST-0473</t>
  </si>
  <si>
    <t>ORD-00118</t>
  </si>
  <si>
    <t>CUST-0426</t>
  </si>
  <si>
    <t>ORD-00119</t>
  </si>
  <si>
    <t>CUST-0521</t>
  </si>
  <si>
    <t>ORD-00120</t>
  </si>
  <si>
    <t>CUST-0003</t>
  </si>
  <si>
    <t>ORD-00121</t>
  </si>
  <si>
    <t>CUST-0458</t>
  </si>
  <si>
    <t>ORD-00122</t>
  </si>
  <si>
    <t>CUST-0194</t>
  </si>
  <si>
    <t>ORD-00123</t>
  </si>
  <si>
    <t>CUST-0485</t>
  </si>
  <si>
    <t>ORD-00124</t>
  </si>
  <si>
    <t>ORD-00125</t>
  </si>
  <si>
    <t>CUST-0420</t>
  </si>
  <si>
    <t>ORD-00126</t>
  </si>
  <si>
    <t>CUST-0337</t>
  </si>
  <si>
    <t>ORD-00127</t>
  </si>
  <si>
    <t>CUST-0037</t>
  </si>
  <si>
    <t>ORD-00128</t>
  </si>
  <si>
    <t>CUST-0445</t>
  </si>
  <si>
    <t>ORD-00129</t>
  </si>
  <si>
    <t>CUST-0048</t>
  </si>
  <si>
    <t>ORD-00130</t>
  </si>
  <si>
    <t>ORD-00131</t>
  </si>
  <si>
    <t>CUST-0510</t>
  </si>
  <si>
    <t>ORD-00132</t>
  </si>
  <si>
    <t>CUST-0477</t>
  </si>
  <si>
    <t>ORD-00133</t>
  </si>
  <si>
    <t>CUST-0307</t>
  </si>
  <si>
    <t>ORD-00134</t>
  </si>
  <si>
    <t>CUST-0495</t>
  </si>
  <si>
    <t>ORD-00135</t>
  </si>
  <si>
    <t>CUST-0023</t>
  </si>
  <si>
    <t>ORD-00136</t>
  </si>
  <si>
    <t>CUST-0509</t>
  </si>
  <si>
    <t>ORD-00137</t>
  </si>
  <si>
    <t>CUST-0141</t>
  </si>
  <si>
    <t>ORD-00138</t>
  </si>
  <si>
    <t>ORD-00139</t>
  </si>
  <si>
    <t>CUST-0553</t>
  </si>
  <si>
    <t>ORD-00140</t>
  </si>
  <si>
    <t>ORD-00141</t>
  </si>
  <si>
    <t>CUST-0571</t>
  </si>
  <si>
    <t>ORD-00142</t>
  </si>
  <si>
    <t>CUST-0269</t>
  </si>
  <si>
    <t>ORD-00143</t>
  </si>
  <si>
    <t>CUST-0575</t>
  </si>
  <si>
    <t>ORD-00144</t>
  </si>
  <si>
    <t>CUST-0419</t>
  </si>
  <si>
    <t>ORD-00145</t>
  </si>
  <si>
    <t>ORD-00146</t>
  </si>
  <si>
    <t>ORD-00147</t>
  </si>
  <si>
    <t>CUST-0034</t>
  </si>
  <si>
    <t>ORD-00148</t>
  </si>
  <si>
    <t>CUST-0377</t>
  </si>
  <si>
    <t>ORD-00149</t>
  </si>
  <si>
    <t>CUST-0094</t>
  </si>
  <si>
    <t>ORD-00150</t>
  </si>
  <si>
    <t>CUST-0250</t>
  </si>
  <si>
    <t>ORD-00151</t>
  </si>
  <si>
    <t>CUST-0222</t>
  </si>
  <si>
    <t>ORD-00152</t>
  </si>
  <si>
    <t>CUST-0134</t>
  </si>
  <si>
    <t>ORD-00153</t>
  </si>
  <si>
    <t>CUST-0244</t>
  </si>
  <si>
    <t>ORD-00154</t>
  </si>
  <si>
    <t>CUST-0117</t>
  </si>
  <si>
    <t>ORD-00155</t>
  </si>
  <si>
    <t>ORD-00156</t>
  </si>
  <si>
    <t>ORD-00157</t>
  </si>
  <si>
    <t>CUST-0076</t>
  </si>
  <si>
    <t>ORD-00158</t>
  </si>
  <si>
    <t>CUST-0562</t>
  </si>
  <si>
    <t>ORD-00159</t>
  </si>
  <si>
    <t>CUST-0102</t>
  </si>
  <si>
    <t>ORD-00160</t>
  </si>
  <si>
    <t>CUST-0234</t>
  </si>
  <si>
    <t>ORD-00161</t>
  </si>
  <si>
    <t>CUST-0321</t>
  </si>
  <si>
    <t>ORD-00162</t>
  </si>
  <si>
    <t>CUST-0096</t>
  </si>
  <si>
    <t>ORD-00163</t>
  </si>
  <si>
    <t>CUST-0576</t>
  </si>
  <si>
    <t>ORD-00164</t>
  </si>
  <si>
    <t>CUST-0053</t>
  </si>
  <si>
    <t>ORD-00165</t>
  </si>
  <si>
    <t>CUST-0494</t>
  </si>
  <si>
    <t>ORD-00166</t>
  </si>
  <si>
    <t>ORD-00167</t>
  </si>
  <si>
    <t>ORD-00168</t>
  </si>
  <si>
    <t>CUST-0007</t>
  </si>
  <si>
    <t>ORD-00169</t>
  </si>
  <si>
    <t>ORD-00170</t>
  </si>
  <si>
    <t>CUST-0582</t>
  </si>
  <si>
    <t>ORD-00171</t>
  </si>
  <si>
    <t>CUST-0279</t>
  </si>
  <si>
    <t>ORD-00172</t>
  </si>
  <si>
    <t>CUST-0525</t>
  </si>
  <si>
    <t>ORD-00173</t>
  </si>
  <si>
    <t>CUST-0540</t>
  </si>
  <si>
    <t>ORD-00174</t>
  </si>
  <si>
    <t>CUST-0309</t>
  </si>
  <si>
    <t>ORD-00175</t>
  </si>
  <si>
    <t>CUST-0180</t>
  </si>
  <si>
    <t>ORD-00176</t>
  </si>
  <si>
    <t>CUST-0074</t>
  </si>
  <si>
    <t>ORD-00177</t>
  </si>
  <si>
    <t>CUST-0590</t>
  </si>
  <si>
    <t>ORD-00178</t>
  </si>
  <si>
    <t>CUST-0022</t>
  </si>
  <si>
    <t>ORD-00179</t>
  </si>
  <si>
    <t>CUST-0448</t>
  </si>
  <si>
    <t>ORD-00180</t>
  </si>
  <si>
    <t>CUST-0348</t>
  </si>
  <si>
    <t>ORD-00181</t>
  </si>
  <si>
    <t>CUST-0199</t>
  </si>
  <si>
    <t>ORD-00182</t>
  </si>
  <si>
    <t>CUST-0178</t>
  </si>
  <si>
    <t>ORD-00183</t>
  </si>
  <si>
    <t>ORD-00184</t>
  </si>
  <si>
    <t>CUST-0155</t>
  </si>
  <si>
    <t>ORD-00185</t>
  </si>
  <si>
    <t>CUST-0058</t>
  </si>
  <si>
    <t>ORD-00186</t>
  </si>
  <si>
    <t>CUST-0294</t>
  </si>
  <si>
    <t>ORD-00187</t>
  </si>
  <si>
    <t>CUST-0568</t>
  </si>
  <si>
    <t>ORD-00188</t>
  </si>
  <si>
    <t>ORD-00189</t>
  </si>
  <si>
    <t>CUST-0041</t>
  </si>
  <si>
    <t>ORD-00190</t>
  </si>
  <si>
    <t>CUST-0382</t>
  </si>
  <si>
    <t>ORD-00191</t>
  </si>
  <si>
    <t>CUST-0068</t>
  </si>
  <si>
    <t>ORD-00192</t>
  </si>
  <si>
    <t>CUST-0154</t>
  </si>
  <si>
    <t>ORD-00193</t>
  </si>
  <si>
    <t>CUST-0133</t>
  </si>
  <si>
    <t>ORD-00194</t>
  </si>
  <si>
    <t>ORD-00195</t>
  </si>
  <si>
    <t>CUST-0185</t>
  </si>
  <si>
    <t>ORD-00196</t>
  </si>
  <si>
    <t>ORD-00197</t>
  </si>
  <si>
    <t>ORD-00198</t>
  </si>
  <si>
    <t>ORD-00199</t>
  </si>
  <si>
    <t>CUST-0292</t>
  </si>
  <si>
    <t>ORD-00200</t>
  </si>
  <si>
    <t>ORD-00201</t>
  </si>
  <si>
    <t>CUST-0515</t>
  </si>
  <si>
    <t>ORD-00202</t>
  </si>
  <si>
    <t>CUST-0381</t>
  </si>
  <si>
    <t>ORD-00203</t>
  </si>
  <si>
    <t>CUST-0461</t>
  </si>
  <si>
    <t>ORD-00204</t>
  </si>
  <si>
    <t>CUST-0425</t>
  </si>
  <si>
    <t>ORD-00205</t>
  </si>
  <si>
    <t>ORD-00206</t>
  </si>
  <si>
    <t>CUST-0040</t>
  </si>
  <si>
    <t>ORD-00207</t>
  </si>
  <si>
    <t>CUST-0006</t>
  </si>
  <si>
    <t>ORD-00208</t>
  </si>
  <si>
    <t>CUST-0541</t>
  </si>
  <si>
    <t>ORD-00209</t>
  </si>
  <si>
    <t>CUST-0469</t>
  </si>
  <si>
    <t>ORD-00210</t>
  </si>
  <si>
    <t>CUST-0248</t>
  </si>
  <si>
    <t>ORD-00211</t>
  </si>
  <si>
    <t>CUST-0192</t>
  </si>
  <si>
    <t>ORD-00212</t>
  </si>
  <si>
    <t>ORD-00213</t>
  </si>
  <si>
    <t>CUST-0017</t>
  </si>
  <si>
    <t>ORD-00214</t>
  </si>
  <si>
    <t>CUST-0341</t>
  </si>
  <si>
    <t>ORD-00215</t>
  </si>
  <si>
    <t>CUST-0491</t>
  </si>
  <si>
    <t>ORD-00216</t>
  </si>
  <si>
    <t>CUST-0207</t>
  </si>
  <si>
    <t>ORD-00217</t>
  </si>
  <si>
    <t>ORD-00218</t>
  </si>
  <si>
    <t>CUST-0340</t>
  </si>
  <si>
    <t>ORD-00219</t>
  </si>
  <si>
    <t>ORD-00220</t>
  </si>
  <si>
    <t>CUST-0085</t>
  </si>
  <si>
    <t>ORD-00221</t>
  </si>
  <si>
    <t>CUST-0329</t>
  </si>
  <si>
    <t>ORD-00222</t>
  </si>
  <si>
    <t>ORD-00223</t>
  </si>
  <si>
    <t>CUST-0446</t>
  </si>
  <si>
    <t>ORD-00224</t>
  </si>
  <si>
    <t>CUST-0164</t>
  </si>
  <si>
    <t>ORD-00225</t>
  </si>
  <si>
    <t>CUST-0242</t>
  </si>
  <si>
    <t>ORD-00226</t>
  </si>
  <si>
    <t>CUST-0380</t>
  </si>
  <si>
    <t>ORD-00227</t>
  </si>
  <si>
    <t>ORD-00228</t>
  </si>
  <si>
    <t>CUST-0121</t>
  </si>
  <si>
    <t>ORD-00229</t>
  </si>
  <si>
    <t>CUST-0205</t>
  </si>
  <si>
    <t>ORD-00230</t>
  </si>
  <si>
    <t>CUST-0328</t>
  </si>
  <si>
    <t>ORD-00231</t>
  </si>
  <si>
    <t>CUST-0179</t>
  </si>
  <si>
    <t>ORD-00232</t>
  </si>
  <si>
    <t>CUST-0506</t>
  </si>
  <si>
    <t>ORD-00233</t>
  </si>
  <si>
    <t>ORD-00234</t>
  </si>
  <si>
    <t>CUST-0421</t>
  </si>
  <si>
    <t>ORD-00235</t>
  </si>
  <si>
    <t>CUST-0478</t>
  </si>
  <si>
    <t>ORD-00236</t>
  </si>
  <si>
    <t>CUST-0444</t>
  </si>
  <si>
    <t>ORD-00237</t>
  </si>
  <si>
    <t>CUST-0355</t>
  </si>
  <si>
    <t>ORD-00238</t>
  </si>
  <si>
    <t>CUST-0311</t>
  </si>
  <si>
    <t>ORD-00239</t>
  </si>
  <si>
    <t>CUST-0346</t>
  </si>
  <si>
    <t>ORD-00240</t>
  </si>
  <si>
    <t>CUST-0216</t>
  </si>
  <si>
    <t>ORD-00241</t>
  </si>
  <si>
    <t>CUST-0310</t>
  </si>
  <si>
    <t>ORD-00242</t>
  </si>
  <si>
    <t>ORD-00243</t>
  </si>
  <si>
    <t>CUST-0327</t>
  </si>
  <si>
    <t>ORD-00244</t>
  </si>
  <si>
    <t>ORD-00245</t>
  </si>
  <si>
    <t>CUST-0429</t>
  </si>
  <si>
    <t>ORD-00246</t>
  </si>
  <si>
    <t>ORD-00247</t>
  </si>
  <si>
    <t>ORD-00248</t>
  </si>
  <si>
    <t>ORD-00249</t>
  </si>
  <si>
    <t>CUST-0413</t>
  </si>
  <si>
    <t>ORD-00250</t>
  </si>
  <si>
    <t>CUST-0296</t>
  </si>
  <si>
    <t>ORD-00251</t>
  </si>
  <si>
    <t>CUST-0122</t>
  </si>
  <si>
    <t>ORD-00252</t>
  </si>
  <si>
    <t>CUST-0148</t>
  </si>
  <si>
    <t>ORD-00253</t>
  </si>
  <si>
    <t>CUST-0342</t>
  </si>
  <si>
    <t>ORD-00254</t>
  </si>
  <si>
    <t>ORD-00255</t>
  </si>
  <si>
    <t>CUST-0522</t>
  </si>
  <si>
    <t>ORD-00256</t>
  </si>
  <si>
    <t>ORD-00257</t>
  </si>
  <si>
    <t>CUST-0486</t>
  </si>
  <si>
    <t>ORD-00258</t>
  </si>
  <si>
    <t>CUST-0175</t>
  </si>
  <si>
    <t>ORD-00259</t>
  </si>
  <si>
    <t>CUST-0196</t>
  </si>
  <si>
    <t>ORD-00260</t>
  </si>
  <si>
    <t>CUST-0514</t>
  </si>
  <si>
    <t>ORD-00261</t>
  </si>
  <si>
    <t>CUST-0490</t>
  </si>
  <si>
    <t>ORD-00262</t>
  </si>
  <si>
    <t>ORD-00263</t>
  </si>
  <si>
    <t>ORD-00264</t>
  </si>
  <si>
    <t>CUST-0295</t>
  </si>
  <si>
    <t>ORD-00265</t>
  </si>
  <si>
    <t>CUST-0150</t>
  </si>
  <si>
    <t>ORD-00266</t>
  </si>
  <si>
    <t>ORD-00267</t>
  </si>
  <si>
    <t>CUST-0112</t>
  </si>
  <si>
    <t>ORD-00268</t>
  </si>
  <si>
    <t>CUST-0054</t>
  </si>
  <si>
    <t>ORD-00269</t>
  </si>
  <si>
    <t>ORD-00270</t>
  </si>
  <si>
    <t>ORD-00271</t>
  </si>
  <si>
    <t>ORD-00272</t>
  </si>
  <si>
    <t>CUST-0039</t>
  </si>
  <si>
    <t>ORD-00273</t>
  </si>
  <si>
    <t>CUST-0466</t>
  </si>
  <si>
    <t>ORD-00274</t>
  </si>
  <si>
    <t>CUST-0167</t>
  </si>
  <si>
    <t>ORD-00275</t>
  </si>
  <si>
    <t>ORD-00276</t>
  </si>
  <si>
    <t>CUST-0336</t>
  </si>
  <si>
    <t>ORD-00277</t>
  </si>
  <si>
    <t>CUST-0255</t>
  </si>
  <si>
    <t>ORD-00278</t>
  </si>
  <si>
    <t>ORD-00279</t>
  </si>
  <si>
    <t>ORD-00280</t>
  </si>
  <si>
    <t>ORD-00281</t>
  </si>
  <si>
    <t>ORD-00282</t>
  </si>
  <si>
    <t>ORD-00283</t>
  </si>
  <si>
    <t>CUST-0115</t>
  </si>
  <si>
    <t>ORD-00284</t>
  </si>
  <si>
    <t>ORD-00285</t>
  </si>
  <si>
    <t>CUST-0457</t>
  </si>
  <si>
    <t>ORD-00286</t>
  </si>
  <si>
    <t>CUST-0474</t>
  </si>
  <si>
    <t>ORD-00287</t>
  </si>
  <si>
    <t>CUST-0593</t>
  </si>
  <si>
    <t>ORD-00288</t>
  </si>
  <si>
    <t>CUST-0071</t>
  </si>
  <si>
    <t>ORD-00289</t>
  </si>
  <si>
    <t>CUST-0384</t>
  </si>
  <si>
    <t>ORD-00290</t>
  </si>
  <si>
    <t>CUST-0137</t>
  </si>
  <si>
    <t>ORD-00291</t>
  </si>
  <si>
    <t>CUST-0004</t>
  </si>
  <si>
    <t>ORD-00292</t>
  </si>
  <si>
    <t>ORD-00293</t>
  </si>
  <si>
    <t>CUST-0033</t>
  </si>
  <si>
    <t>ORD-00294</t>
  </si>
  <si>
    <t>ORD-00295</t>
  </si>
  <si>
    <t>ORD-00296</t>
  </si>
  <si>
    <t>CUST-0243</t>
  </si>
  <si>
    <t>ORD-00297</t>
  </si>
  <si>
    <t>ORD-00298</t>
  </si>
  <si>
    <t>CUST-0391</t>
  </si>
  <si>
    <t>ORD-00299</t>
  </si>
  <si>
    <t>ORD-00300</t>
  </si>
  <si>
    <t>ORD-00301</t>
  </si>
  <si>
    <t>ORD-00302</t>
  </si>
  <si>
    <t>CUST-0275</t>
  </si>
  <si>
    <t>ORD-00303</t>
  </si>
  <si>
    <t>CUST-0573</t>
  </si>
  <si>
    <t>ORD-00304</t>
  </si>
  <si>
    <t>CUST-0195</t>
  </si>
  <si>
    <t>ORD-00305</t>
  </si>
  <si>
    <t>ORD-00306</t>
  </si>
  <si>
    <t>CUST-0369</t>
  </si>
  <si>
    <t>ORD-00307</t>
  </si>
  <si>
    <t>ORD-00308</t>
  </si>
  <si>
    <t>CUST-0268</t>
  </si>
  <si>
    <t>ORD-00309</t>
  </si>
  <si>
    <t>CUST-0512</t>
  </si>
  <si>
    <t>ORD-00310</t>
  </si>
  <si>
    <t>CUST-0361</t>
  </si>
  <si>
    <t>ORD-00311</t>
  </si>
  <si>
    <t>CUST-0537</t>
  </si>
  <si>
    <t>ORD-00312</t>
  </si>
  <si>
    <t>CUST-0070</t>
  </si>
  <si>
    <t>ORD-00313</t>
  </si>
  <si>
    <t>ORD-00314</t>
  </si>
  <si>
    <t>CUST-0282</t>
  </si>
  <si>
    <t>ORD-00315</t>
  </si>
  <si>
    <t>CUST-0110</t>
  </si>
  <si>
    <t>ORD-00316</t>
  </si>
  <si>
    <t>ORD-00317</t>
  </si>
  <si>
    <t>CUST-0308</t>
  </si>
  <si>
    <t>ORD-00318</t>
  </si>
  <si>
    <t>CUST-0488</t>
  </si>
  <si>
    <t>ORD-00319</t>
  </si>
  <si>
    <t>ORD-00320</t>
  </si>
  <si>
    <t>CUST-0487</t>
  </si>
  <si>
    <t>ORD-00321</t>
  </si>
  <si>
    <t>ORD-00322</t>
  </si>
  <si>
    <t>CUST-0079</t>
  </si>
  <si>
    <t>ORD-00323</t>
  </si>
  <si>
    <t>ORD-00324</t>
  </si>
  <si>
    <t>CUST-0055</t>
  </si>
  <si>
    <t>ORD-00325</t>
  </si>
  <si>
    <t>ORD-00326</t>
  </si>
  <si>
    <t>CUST-0365</t>
  </si>
  <si>
    <t>ORD-00327</t>
  </si>
  <si>
    <t>ORD-00328</t>
  </si>
  <si>
    <t>CUST-0399</t>
  </si>
  <si>
    <t>ORD-00329</t>
  </si>
  <si>
    <t>CUST-0277</t>
  </si>
  <si>
    <t>ORD-00330</t>
  </si>
  <si>
    <t>CUST-0418</t>
  </si>
  <si>
    <t>ORD-00331</t>
  </si>
  <si>
    <t>CUST-0395</t>
  </si>
  <si>
    <t>ORD-00332</t>
  </si>
  <si>
    <t>CUST-0249</t>
  </si>
  <si>
    <t>ORD-00333</t>
  </si>
  <si>
    <t>ORD-00334</t>
  </si>
  <si>
    <t>CUST-0370</t>
  </si>
  <si>
    <t>ORD-00335</t>
  </si>
  <si>
    <t>CUST-0139</t>
  </si>
  <si>
    <t>ORD-00336</t>
  </si>
  <si>
    <t>CUST-0451</t>
  </si>
  <si>
    <t>ORD-00337</t>
  </si>
  <si>
    <t>ORD-00338</t>
  </si>
  <si>
    <t>ORD-00339</t>
  </si>
  <si>
    <t>ORD-00340</t>
  </si>
  <si>
    <t>CUST-0215</t>
  </si>
  <si>
    <t>ORD-00341</t>
  </si>
  <si>
    <t>ORD-00342</t>
  </si>
  <si>
    <t>CUST-0387</t>
  </si>
  <si>
    <t>ORD-00343</t>
  </si>
  <si>
    <t>CUST-0557</t>
  </si>
  <si>
    <t>ORD-00344</t>
  </si>
  <si>
    <t>ORD-00345</t>
  </si>
  <si>
    <t>ORD-00346</t>
  </si>
  <si>
    <t>CUST-0572</t>
  </si>
  <si>
    <t>ORD-00347</t>
  </si>
  <si>
    <t>ORD-00348</t>
  </si>
  <si>
    <t>CUST-0119</t>
  </si>
  <si>
    <t>ORD-00349</t>
  </si>
  <si>
    <t>CUST-0357</t>
  </si>
  <si>
    <t>ORD-00350</t>
  </si>
  <si>
    <t>CUST-0046</t>
  </si>
  <si>
    <t>ORD-00351</t>
  </si>
  <si>
    <t>CUST-0529</t>
  </si>
  <si>
    <t>ORD-00352</t>
  </si>
  <si>
    <t>ORD-00353</t>
  </si>
  <si>
    <t>CUST-0203</t>
  </si>
  <si>
    <t>ORD-00354</t>
  </si>
  <si>
    <t>CUST-0065</t>
  </si>
  <si>
    <t>ORD-00355</t>
  </si>
  <si>
    <t>CUST-0502</t>
  </si>
  <si>
    <t>ORD-00356</t>
  </si>
  <si>
    <t>ORD-00357</t>
  </si>
  <si>
    <t>ORD-00358</t>
  </si>
  <si>
    <t>CUST-0398</t>
  </si>
  <si>
    <t>ORD-00359</t>
  </si>
  <si>
    <t>ORD-00360</t>
  </si>
  <si>
    <t>ORD-00361</t>
  </si>
  <si>
    <t>CUST-0518</t>
  </si>
  <si>
    <t>ORD-00362</t>
  </si>
  <si>
    <t>CUST-0172</t>
  </si>
  <si>
    <t>ORD-00363</t>
  </si>
  <si>
    <t>ORD-00364</t>
  </si>
  <si>
    <t>CUST-0116</t>
  </si>
  <si>
    <t>ORD-00365</t>
  </si>
  <si>
    <t>CUST-0560</t>
  </si>
  <si>
    <t>ORD-00366</t>
  </si>
  <si>
    <t>ORD-00367</t>
  </si>
  <si>
    <t>ORD-00368</t>
  </si>
  <si>
    <t>ORD-00369</t>
  </si>
  <si>
    <t>CUST-0300</t>
  </si>
  <si>
    <t>ORD-00370</t>
  </si>
  <si>
    <t>ORD-00371</t>
  </si>
  <si>
    <t>ORD-00372</t>
  </si>
  <si>
    <t>ORD-00373</t>
  </si>
  <si>
    <t>CUST-0528</t>
  </si>
  <si>
    <t>ORD-00374</t>
  </si>
  <si>
    <t>ORD-00375</t>
  </si>
  <si>
    <t>CUST-0408</t>
  </si>
  <si>
    <t>ORD-00376</t>
  </si>
  <si>
    <t>CUST-0561</t>
  </si>
  <si>
    <t>ORD-00377</t>
  </si>
  <si>
    <t>ORD-00378</t>
  </si>
  <si>
    <t>CUST-0208</t>
  </si>
  <si>
    <t>ORD-00379</t>
  </si>
  <si>
    <t>ORD-00380</t>
  </si>
  <si>
    <t>CUST-0313</t>
  </si>
  <si>
    <t>ORD-00381</t>
  </si>
  <si>
    <t>CUST-0080</t>
  </si>
  <si>
    <t>ORD-00382</t>
  </si>
  <si>
    <t>ORD-00383</t>
  </si>
  <si>
    <t>ORD-00384</t>
  </si>
  <si>
    <t>ORD-00385</t>
  </si>
  <si>
    <t>CUST-0219</t>
  </si>
  <si>
    <t>ORD-00386</t>
  </si>
  <si>
    <t>ORD-00387</t>
  </si>
  <si>
    <t>ORD-00388</t>
  </si>
  <si>
    <t>ORD-00389</t>
  </si>
  <si>
    <t>ORD-00390</t>
  </si>
  <si>
    <t>ORD-00391</t>
  </si>
  <si>
    <t>CUST-0375</t>
  </si>
  <si>
    <t>ORD-00392</t>
  </si>
  <si>
    <t>ORD-00393</t>
  </si>
  <si>
    <t>ORD-00394</t>
  </si>
  <si>
    <t>ORD-00395</t>
  </si>
  <si>
    <t>ORD-00396</t>
  </si>
  <si>
    <t>CUST-0465</t>
  </si>
  <si>
    <t>ORD-00397</t>
  </si>
  <si>
    <t>ORD-00398</t>
  </si>
  <si>
    <t>ORD-00399</t>
  </si>
  <si>
    <t>CUST-0344</t>
  </si>
  <si>
    <t>ORD-00400</t>
  </si>
  <si>
    <t>ORD-00401</t>
  </si>
  <si>
    <t>ORD-00402</t>
  </si>
  <si>
    <t>ORD-00403</t>
  </si>
  <si>
    <t>CUST-0184</t>
  </si>
  <si>
    <t>ORD-00404</t>
  </si>
  <si>
    <t>CUST-0278</t>
  </si>
  <si>
    <t>ORD-00405</t>
  </si>
  <si>
    <t>CUST-0229</t>
  </si>
  <si>
    <t>ORD-00406</t>
  </si>
  <si>
    <t>ORD-00407</t>
  </si>
  <si>
    <t>ORD-00408</t>
  </si>
  <si>
    <t>CUST-0252</t>
  </si>
  <si>
    <t>ORD-00409</t>
  </si>
  <si>
    <t>ORD-00410</t>
  </si>
  <si>
    <t>ORD-00411</t>
  </si>
  <si>
    <t>ORD-00412</t>
  </si>
  <si>
    <t>ORD-00413</t>
  </si>
  <si>
    <t>ORD-00414</t>
  </si>
  <si>
    <t>CUST-0464</t>
  </si>
  <si>
    <t>ORD-00415</t>
  </si>
  <si>
    <t>CUST-0160</t>
  </si>
  <si>
    <t>ORD-00416</t>
  </si>
  <si>
    <t>CUST-0213</t>
  </si>
  <si>
    <t>ORD-00417</t>
  </si>
  <si>
    <t>CUST-0042</t>
  </si>
  <si>
    <t>ORD-00418</t>
  </si>
  <si>
    <t>CUST-0526</t>
  </si>
  <si>
    <t>ORD-00419</t>
  </si>
  <si>
    <t>ORD-00420</t>
  </si>
  <si>
    <t>CUST-0064</t>
  </si>
  <si>
    <t>ORD-00421</t>
  </si>
  <si>
    <t>CUST-0597</t>
  </si>
  <si>
    <t>ORD-00422</t>
  </si>
  <si>
    <t>CUST-0095</t>
  </si>
  <si>
    <t>ORD-00423</t>
  </si>
  <si>
    <t>CUST-0405</t>
  </si>
  <si>
    <t>ORD-00424</t>
  </si>
  <si>
    <t>ORD-00425</t>
  </si>
  <si>
    <t>ORD-00426</t>
  </si>
  <si>
    <t>ORD-00427</t>
  </si>
  <si>
    <t>CUST-0492</t>
  </si>
  <si>
    <t>ORD-00428</t>
  </si>
  <si>
    <t>ORD-00429</t>
  </si>
  <si>
    <t>CUST-0599</t>
  </si>
  <si>
    <t>ORD-00430</t>
  </si>
  <si>
    <t>ORD-00431</t>
  </si>
  <si>
    <t>CUST-0029</t>
  </si>
  <si>
    <t>ORD-00432</t>
  </si>
  <si>
    <t>CUST-0556</t>
  </si>
  <si>
    <t>ORD-00433</t>
  </si>
  <si>
    <t>CUST-0021</t>
  </si>
  <si>
    <t>ORD-00434</t>
  </si>
  <si>
    <t>ORD-00435</t>
  </si>
  <si>
    <t>CUST-0539</t>
  </si>
  <si>
    <t>ORD-00436</t>
  </si>
  <si>
    <t>CUST-0345</t>
  </si>
  <si>
    <t>ORD-00437</t>
  </si>
  <si>
    <t>CUST-0325</t>
  </si>
  <si>
    <t>ORD-00438</t>
  </si>
  <si>
    <t>ORD-00439</t>
  </si>
  <si>
    <t>CUST-0587</t>
  </si>
  <si>
    <t>ORD-00440</t>
  </si>
  <si>
    <t>ORD-00441</t>
  </si>
  <si>
    <t>ORD-00442</t>
  </si>
  <si>
    <t>CUST-0272</t>
  </si>
  <si>
    <t>ORD-00443</t>
  </si>
  <si>
    <t>CUST-0050</t>
  </si>
  <si>
    <t>ORD-00444</t>
  </si>
  <si>
    <t>ORD-00445</t>
  </si>
  <si>
    <t>CUST-0463</t>
  </si>
  <si>
    <t>ORD-00446</t>
  </si>
  <si>
    <t>CUST-0351</t>
  </si>
  <si>
    <t>ORD-00447</t>
  </si>
  <si>
    <t>CUST-0347</t>
  </si>
  <si>
    <t>ORD-00448</t>
  </si>
  <si>
    <t>ORD-00449</t>
  </si>
  <si>
    <t>CUST-0554</t>
  </si>
  <si>
    <t>ORD-00450</t>
  </si>
  <si>
    <t>CUST-0563</t>
  </si>
  <si>
    <t>ORD-00451</t>
  </si>
  <si>
    <t>ORD-00452</t>
  </si>
  <si>
    <t>ORD-00453</t>
  </si>
  <si>
    <t>CUST-0558</t>
  </si>
  <si>
    <t>ORD-00454</t>
  </si>
  <si>
    <t>ORD-00455</t>
  </si>
  <si>
    <t>CUST-0088</t>
  </si>
  <si>
    <t>ORD-00456</t>
  </si>
  <si>
    <t>CUST-0536</t>
  </si>
  <si>
    <t>ORD-00457</t>
  </si>
  <si>
    <t>CUST-0081</t>
  </si>
  <si>
    <t>ORD-00458</t>
  </si>
  <si>
    <t>CUST-0151</t>
  </si>
  <si>
    <t>ORD-00459</t>
  </si>
  <si>
    <t>CUST-0044</t>
  </si>
  <si>
    <t>ORD-00460</t>
  </si>
  <si>
    <t>CUST-0265</t>
  </si>
  <si>
    <t>ORD-00461</t>
  </si>
  <si>
    <t>ORD-00462</t>
  </si>
  <si>
    <t>ORD-00463</t>
  </si>
  <si>
    <t>CUST-0109</t>
  </si>
  <si>
    <t>ORD-00464</t>
  </si>
  <si>
    <t>CUST-0586</t>
  </si>
  <si>
    <t>ORD-00465</t>
  </si>
  <si>
    <t>ORD-00466</t>
  </si>
  <si>
    <t>ORD-00467</t>
  </si>
  <si>
    <t>ORD-00468</t>
  </si>
  <si>
    <t>CUST-0193</t>
  </si>
  <si>
    <t>ORD-00469</t>
  </si>
  <si>
    <t>ORD-00470</t>
  </si>
  <si>
    <t>ORD-00471</t>
  </si>
  <si>
    <t>CUST-0052</t>
  </si>
  <si>
    <t>ORD-00472</t>
  </si>
  <si>
    <t>CUST-0127</t>
  </si>
  <si>
    <t>ORD-00473</t>
  </si>
  <si>
    <t>ORD-00474</t>
  </si>
  <si>
    <t>ORD-00475</t>
  </si>
  <si>
    <t>CUST-0231</t>
  </si>
  <si>
    <t>ORD-00476</t>
  </si>
  <si>
    <t>ORD-00477</t>
  </si>
  <si>
    <t>ORD-00478</t>
  </si>
  <si>
    <t>CUST-0534</t>
  </si>
  <si>
    <t>ORD-00479</t>
  </si>
  <si>
    <t>ORD-00480</t>
  </si>
  <si>
    <t>CUST-0333</t>
  </si>
  <si>
    <t>ORD-00481</t>
  </si>
  <si>
    <t>ORD-00482</t>
  </si>
  <si>
    <t>ORD-00483</t>
  </si>
  <si>
    <t>ORD-00484</t>
  </si>
  <si>
    <t>CUST-0520</t>
  </si>
  <si>
    <t>ORD-00485</t>
  </si>
  <si>
    <t>ORD-00486</t>
  </si>
  <si>
    <t>CUST-0431</t>
  </si>
  <si>
    <t>ORD-00487</t>
  </si>
  <si>
    <t>ORD-00488</t>
  </si>
  <si>
    <t>CUST-0306</t>
  </si>
  <si>
    <t>ORD-00489</t>
  </si>
  <si>
    <t>ORD-00490</t>
  </si>
  <si>
    <t>ORD-00491</t>
  </si>
  <si>
    <t>CUST-0163</t>
  </si>
  <si>
    <t>ORD-00492</t>
  </si>
  <si>
    <t>CUST-0489</t>
  </si>
  <si>
    <t>ORD-00493</t>
  </si>
  <si>
    <t>ORD-00494</t>
  </si>
  <si>
    <t>CUST-0320</t>
  </si>
  <si>
    <t>ORD-00495</t>
  </si>
  <si>
    <t>ORD-00496</t>
  </si>
  <si>
    <t>ORD-00497</t>
  </si>
  <si>
    <t>CUST-0020</t>
  </si>
  <si>
    <t>ORD-00498</t>
  </si>
  <si>
    <t>ORD-00499</t>
  </si>
  <si>
    <t>ORD-00500</t>
  </si>
  <si>
    <t>CUST-0427</t>
  </si>
  <si>
    <t>ORD-00501</t>
  </si>
  <si>
    <t>CUST-0010</t>
  </si>
  <si>
    <t>ORD-00502</t>
  </si>
  <si>
    <t>ORD-00503</t>
  </si>
  <si>
    <t>ORD-00504</t>
  </si>
  <si>
    <t>ORD-00505</t>
  </si>
  <si>
    <t>ORD-00506</t>
  </si>
  <si>
    <t>ORD-00507</t>
  </si>
  <si>
    <t>CUST-0237</t>
  </si>
  <si>
    <t>ORD-00508</t>
  </si>
  <si>
    <t>CUST-0298</t>
  </si>
  <si>
    <t>ORD-00509</t>
  </si>
  <si>
    <t>ORD-00510</t>
  </si>
  <si>
    <t>ORD-00511</t>
  </si>
  <si>
    <t>ORD-00512</t>
  </si>
  <si>
    <t>CUST-0136</t>
  </si>
  <si>
    <t>ORD-00513</t>
  </si>
  <si>
    <t>ORD-00514</t>
  </si>
  <si>
    <t>ORD-00515</t>
  </si>
  <si>
    <t>ORD-00516</t>
  </si>
  <si>
    <t>ORD-00517</t>
  </si>
  <si>
    <t>CUST-0056</t>
  </si>
  <si>
    <t>ORD-00518</t>
  </si>
  <si>
    <t>CUST-0077</t>
  </si>
  <si>
    <t>ORD-00519</t>
  </si>
  <si>
    <t>ORD-00520</t>
  </si>
  <si>
    <t>CUST-0091</t>
  </si>
  <si>
    <t>ORD-00521</t>
  </si>
  <si>
    <t>ORD-00522</t>
  </si>
  <si>
    <t>CUST-0312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</si>
  <si>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</si>
  <si>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</si>
  <si>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</si>
  <si>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</si>
  <si>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</si>
  <si>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</si>
  <si>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</si>
  <si>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CUST-0005</t>
  </si>
  <si>
    <t>ORD-00530</t>
  </si>
  <si>
    <t>ORD-00531</t>
  </si>
  <si>
    <t>ORD-00532</t>
  </si>
  <si>
    <t>CUST-0302</t>
  </si>
  <si>
    <t>ORD-00533</t>
  </si>
  <si>
    <t>ORD-00534</t>
  </si>
  <si>
    <t>CUST-0354</t>
  </si>
  <si>
    <t>ORD-00535</t>
  </si>
  <si>
    <t>ORD-00536</t>
  </si>
  <si>
    <t>CUST-0547</t>
  </si>
  <si>
    <t>ORD-00537</t>
  </si>
  <si>
    <t>ORD-00538</t>
  </si>
  <si>
    <t>ORD-00539</t>
  </si>
  <si>
    <t>ORD-00540</t>
  </si>
  <si>
    <t>CUST-0397</t>
  </si>
  <si>
    <t>ORD-00541</t>
  </si>
  <si>
    <t>CUST-0454</t>
  </si>
  <si>
    <t>ORD-00542</t>
  </si>
  <si>
    <t>CUST-0202</t>
  </si>
  <si>
    <t>ORD-00543</t>
  </si>
  <si>
    <t>ORD-00544</t>
  </si>
  <si>
    <t>ORD-00545</t>
  </si>
  <si>
    <t>CUST-0331</t>
  </si>
  <si>
    <t>ORD-00546</t>
  </si>
  <si>
    <t>CUST-0367</t>
  </si>
  <si>
    <t>ORD-00547</t>
  </si>
  <si>
    <t>ORD-00548</t>
  </si>
  <si>
    <t>ORD-00549</t>
  </si>
  <si>
    <t>ORD-00550</t>
  </si>
  <si>
    <t>ORD-00551</t>
  </si>
  <si>
    <t>ORD-00552</t>
  </si>
  <si>
    <t>CUST-0045</t>
  </si>
  <si>
    <t>ORD-00553</t>
  </si>
  <si>
    <t>CUST-0551</t>
  </si>
  <si>
    <t>ORD-00554</t>
  </si>
  <si>
    <t>CUST-0107</t>
  </si>
  <si>
    <t>ORD-00555</t>
  </si>
  <si>
    <t>CUST-0158</t>
  </si>
  <si>
    <t>ORD-00556</t>
  </si>
  <si>
    <t>ORD-00557</t>
  </si>
  <si>
    <t>ORD-00558</t>
  </si>
  <si>
    <t>ORD-00559</t>
  </si>
  <si>
    <t>CUST-0089</t>
  </si>
  <si>
    <t>ORD-00560</t>
  </si>
  <si>
    <t>ORD-00561</t>
  </si>
  <si>
    <t>CUST-0383</t>
  </si>
  <si>
    <t>ORD-00562</t>
  </si>
  <si>
    <t>CUST-0404</t>
  </si>
  <si>
    <t>ORD-00563</t>
  </si>
  <si>
    <t>CUST-0423</t>
  </si>
  <si>
    <t>ORD-00564</t>
  </si>
  <si>
    <t>CUST-0186</t>
  </si>
  <si>
    <t>ORD-00565</t>
  </si>
  <si>
    <t>ORD-00566</t>
  </si>
  <si>
    <t>ORD-00567</t>
  </si>
  <si>
    <t>CUST-0314</t>
  </si>
  <si>
    <t>ORD-00568</t>
  </si>
  <si>
    <t>ORD-00569</t>
  </si>
  <si>
    <t>CUST-0138</t>
  </si>
  <si>
    <t>ORD-00570</t>
  </si>
  <si>
    <t>ORD-00571</t>
  </si>
  <si>
    <t>ORD-00572</t>
  </si>
  <si>
    <t>CUST-0032</t>
  </si>
  <si>
    <t>ORD-00573</t>
  </si>
  <si>
    <t>CUST-0484</t>
  </si>
  <si>
    <t>ORD-00574</t>
  </si>
  <si>
    <t>ORD-00575</t>
  </si>
  <si>
    <t>CUST-0170</t>
  </si>
  <si>
    <t>ORD-00576</t>
  </si>
  <si>
    <t>ORD-00577</t>
  </si>
  <si>
    <t>ORD-00578</t>
  </si>
  <si>
    <t>ORD-00579</t>
  </si>
  <si>
    <t>ORD-00580</t>
  </si>
  <si>
    <t>CUST-0530</t>
  </si>
  <si>
    <t>ORD-00581</t>
  </si>
  <si>
    <t>ORD-00582</t>
  </si>
  <si>
    <t>ORD-00583</t>
  </si>
  <si>
    <t>ORD-00584</t>
  </si>
  <si>
    <t>ORD-00585</t>
  </si>
  <si>
    <t>ORD-00586</t>
  </si>
  <si>
    <t>CUST-0416</t>
  </si>
  <si>
    <t>ORD-00587</t>
  </si>
  <si>
    <t>CUST-0483</t>
  </si>
  <si>
    <t>ORD-00588</t>
  </si>
  <si>
    <t>CUST-0524</t>
  </si>
  <si>
    <t>ORD-00589</t>
  </si>
  <si>
    <t>ORD-00590</t>
  </si>
  <si>
    <t>ORD-00591</t>
  </si>
  <si>
    <t>CUST-0545</t>
  </si>
  <si>
    <t>ORD-00592</t>
  </si>
  <si>
    <t>CUST-0442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</si>
  <si>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</si>
  <si>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</si>
  <si>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</si>
  <si>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</si>
  <si>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</si>
  <si>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</si>
  <si>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</si>
  <si>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</si>
  <si>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</si>
  <si>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</si>
  <si>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</si>
  <si>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CUST-0394</t>
  </si>
  <si>
    <t>ORD-00604</t>
  </si>
  <si>
    <t>ORD-00605</t>
  </si>
  <si>
    <t>CUST-0293</t>
  </si>
  <si>
    <t>ORD-00606</t>
  </si>
  <si>
    <t>ORD-00607</t>
  </si>
  <si>
    <t>ORD-00608</t>
  </si>
  <si>
    <t>CUST-0093</t>
  </si>
  <si>
    <t>ORD-00609</t>
  </si>
  <si>
    <t>ORD-00610</t>
  </si>
  <si>
    <t>ORD-00611</t>
  </si>
  <si>
    <t>ORD-00612</t>
  </si>
  <si>
    <t>CUST-0470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</si>
  <si>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</si>
  <si>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</si>
  <si>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</si>
  <si>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</si>
  <si>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</si>
  <si>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</si>
  <si>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</si>
  <si>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</si>
  <si>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</si>
  <si>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</si>
  <si>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</si>
  <si>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</si>
  <si>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</si>
  <si>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CUST-0235</t>
  </si>
  <si>
    <t>ORD-00626</t>
  </si>
  <si>
    <t>ORD-00627</t>
  </si>
  <si>
    <t>ORD-00628</t>
  </si>
  <si>
    <t>ORD-00629</t>
  </si>
  <si>
    <t>CUST-0343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</si>
  <si>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</si>
  <si>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</si>
  <si>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</si>
  <si>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</si>
  <si>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</si>
  <si>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</si>
  <si>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</si>
  <si>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</si>
  <si>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</si>
  <si>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</si>
  <si>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CUST-0400</t>
  </si>
  <si>
    <t>ORD-00640</t>
  </si>
  <si>
    <t>ORD-00641</t>
  </si>
  <si>
    <t>CUST-0479</t>
  </si>
  <si>
    <t>ORD-00642</t>
  </si>
  <si>
    <t>ORD-00643</t>
  </si>
  <si>
    <t>ORD-00644</t>
  </si>
  <si>
    <t>CUST-0011</t>
  </si>
  <si>
    <t>ORD-00645</t>
  </si>
  <si>
    <t>ORD-00646</t>
  </si>
  <si>
    <t>ORD-00647</t>
  </si>
  <si>
    <t>CUST-0388</t>
  </si>
  <si>
    <t>ORD-00648</t>
  </si>
  <si>
    <t>ORD-00649</t>
  </si>
  <si>
    <t>CUST-0140</t>
  </si>
  <si>
    <t>ORD-00650</t>
  </si>
  <si>
    <t>CUST-0504</t>
  </si>
  <si>
    <t>ORD-00651</t>
  </si>
  <si>
    <t>CUST-0105</t>
  </si>
  <si>
    <t>ORD-00652</t>
  </si>
  <si>
    <t>ORD-00653</t>
  </si>
  <si>
    <t>ORD-00654</t>
  </si>
  <si>
    <t>ORD-00655</t>
  </si>
  <si>
    <t>ORD-00656</t>
  </si>
  <si>
    <t>ORD-00657</t>
  </si>
  <si>
    <t>ORD-00658</t>
  </si>
  <si>
    <t>CUST-0126</t>
  </si>
  <si>
    <t>ORD-00659</t>
  </si>
  <si>
    <t>ORD-00660</t>
  </si>
  <si>
    <t>CUST-0123</t>
  </si>
  <si>
    <t>ORD-00661</t>
  </si>
  <si>
    <t>CUST-0159</t>
  </si>
  <si>
    <t>ORD-00662</t>
  </si>
  <si>
    <t>CUST-0062</t>
  </si>
  <si>
    <t>ORD-00663</t>
  </si>
  <si>
    <t>CUST-0500</t>
  </si>
  <si>
    <t>ORD-00664</t>
  </si>
  <si>
    <t>CUST-0198</t>
  </si>
  <si>
    <t>ORD-00665</t>
  </si>
  <si>
    <t>ORD-00666</t>
  </si>
  <si>
    <t>ORD-00667</t>
  </si>
  <si>
    <t>CUST-0165</t>
  </si>
  <si>
    <t>ORD-00668</t>
  </si>
  <si>
    <t>ORD-00669</t>
  </si>
  <si>
    <t>CUST-0373</t>
  </si>
  <si>
    <t>ORD-00670</t>
  </si>
  <si>
    <t>ORD-00671</t>
  </si>
  <si>
    <t>CUST-0114</t>
  </si>
  <si>
    <t>ORD-00672</t>
  </si>
  <si>
    <t>ORD-00673</t>
  </si>
  <si>
    <t>ORD-00674</t>
  </si>
  <si>
    <t>ORD-00675</t>
  </si>
  <si>
    <t>CUST-0378</t>
  </si>
  <si>
    <t>ORD-00676</t>
  </si>
  <si>
    <t>ORD-00677</t>
  </si>
  <si>
    <t>ORD-00678</t>
  </si>
  <si>
    <t>CUST-0591</t>
  </si>
  <si>
    <t>ORD-00679</t>
  </si>
  <si>
    <t>ORD-00680</t>
  </si>
  <si>
    <t>ORD-00681</t>
  </si>
  <si>
    <t>ORD-00682</t>
  </si>
  <si>
    <t>ORD-00683</t>
  </si>
  <si>
    <t>ORD-00684</t>
  </si>
  <si>
    <t>CUST-0567</t>
  </si>
  <si>
    <t>ORD-00685</t>
  </si>
  <si>
    <t>ORD-00686</t>
  </si>
  <si>
    <t>ORD-00687</t>
  </si>
  <si>
    <t>CUST-0098</t>
  </si>
  <si>
    <t>ORD-00688</t>
  </si>
  <si>
    <t>ORD-00689</t>
  </si>
  <si>
    <t>CUST-0392</t>
  </si>
  <si>
    <t>ORD-00690</t>
  </si>
  <si>
    <t>ORD-00691</t>
  </si>
  <si>
    <t>ORD-00692</t>
  </si>
  <si>
    <t>ORD-00693</t>
  </si>
  <si>
    <t>ORD-00694</t>
  </si>
  <si>
    <t>CUST-0201</t>
  </si>
  <si>
    <t>ORD-00695</t>
  </si>
  <si>
    <t>CUST-0092</t>
  </si>
  <si>
    <t>ORD-00696</t>
  </si>
  <si>
    <t>ORD-00697</t>
  </si>
  <si>
    <t>ORD-00698</t>
  </si>
  <si>
    <t>ORD-00699</t>
  </si>
  <si>
    <t>CUST-0352</t>
  </si>
  <si>
    <t>ORD-00700</t>
  </si>
  <si>
    <t>ORD-00701</t>
  </si>
  <si>
    <t>CUST-0019</t>
  </si>
  <si>
    <t>ORD-00702</t>
  </si>
  <si>
    <t>CUST-0206</t>
  </si>
  <si>
    <t>ORD-00703</t>
  </si>
  <si>
    <t>ORD-00704</t>
  </si>
  <si>
    <t>ORD-00705</t>
  </si>
  <si>
    <t>ORD-00706</t>
  </si>
  <si>
    <t>ORD-00707</t>
  </si>
  <si>
    <t>ORD-00708</t>
  </si>
  <si>
    <t>CUST-0569</t>
  </si>
  <si>
    <t>ORD-00709</t>
  </si>
  <si>
    <t>ORD-00710</t>
  </si>
  <si>
    <t>CUST-0338</t>
  </si>
  <si>
    <t>ORD-00711</t>
  </si>
  <si>
    <t>CUST-0142</t>
  </si>
  <si>
    <t>ORD-00712</t>
  </si>
  <si>
    <t>CUST-0579</t>
  </si>
  <si>
    <t>ORD-00713</t>
  </si>
  <si>
    <t>CUST-0326</t>
  </si>
  <si>
    <t>ORD-00714</t>
  </si>
  <si>
    <t>ORD-00715</t>
  </si>
  <si>
    <t>ORD-00716</t>
  </si>
  <si>
    <t>CUST-0238</t>
  </si>
  <si>
    <t>ORD-00717</t>
  </si>
  <si>
    <t>ORD-00718</t>
  </si>
  <si>
    <t>ORD-00719</t>
  </si>
  <si>
    <t>ORD-00720</t>
  </si>
  <si>
    <t>ORD-00721</t>
  </si>
  <si>
    <t>ORD-00722</t>
  </si>
  <si>
    <t>ORD-00723</t>
  </si>
  <si>
    <t>CUST-0406</t>
  </si>
  <si>
    <t>ORD-00724</t>
  </si>
  <si>
    <t>CUST-0299</t>
  </si>
  <si>
    <t>ORD-00725</t>
  </si>
  <si>
    <t>ORD-00726</t>
  </si>
  <si>
    <t>ORD-00727</t>
  </si>
  <si>
    <t>ORD-00728</t>
  </si>
  <si>
    <t>ORD-00729</t>
  </si>
  <si>
    <t>ORD-00730</t>
  </si>
  <si>
    <t>CUST-0580</t>
  </si>
  <si>
    <t>ORD-00731</t>
  </si>
  <si>
    <t>CUST-0317</t>
  </si>
  <si>
    <t>ORD-00732</t>
  </si>
  <si>
    <t>ORD-00733</t>
  </si>
  <si>
    <t>ORD-00734</t>
  </si>
  <si>
    <t>ORD-00735</t>
  </si>
  <si>
    <t>CUST-0051</t>
  </si>
  <si>
    <t>ORD-00736</t>
  </si>
  <si>
    <t>ORD-00737</t>
  </si>
  <si>
    <t>ORD-00738</t>
  </si>
  <si>
    <t>ORD-00739</t>
  </si>
  <si>
    <t>ORD-00740</t>
  </si>
  <si>
    <t>CUST-0060</t>
  </si>
  <si>
    <t>ORD-00741</t>
  </si>
  <si>
    <t>ORD-00742</t>
  </si>
  <si>
    <t>ORD-00743</t>
  </si>
  <si>
    <t>ORD-00744</t>
  </si>
  <si>
    <t>ORD-00745</t>
  </si>
  <si>
    <t>CUST-0012</t>
  </si>
  <si>
    <t>ORD-00746</t>
  </si>
  <si>
    <t>ORD-00747</t>
  </si>
  <si>
    <t>CUST-0030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</si>
  <si>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</si>
  <si>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</si>
  <si>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</si>
  <si>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</si>
  <si>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</si>
  <si>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</si>
  <si>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</si>
  <si>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</si>
  <si>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CUST-0455</t>
  </si>
  <si>
    <t>ORD-00756</t>
  </si>
  <si>
    <t>ORD-00757</t>
  </si>
  <si>
    <t>CUST-0471</t>
  </si>
  <si>
    <t>ORD-00758</t>
  </si>
  <si>
    <t>CUST-0090</t>
  </si>
  <si>
    <t>ORD-00759</t>
  </si>
  <si>
    <t>CUST-0024</t>
  </si>
  <si>
    <t>ORD-00760</t>
  </si>
  <si>
    <t>ORD-00761</t>
  </si>
  <si>
    <t>CUST-0574</t>
  </si>
  <si>
    <t>ORD-00762</t>
  </si>
  <si>
    <t>CUST-0588</t>
  </si>
  <si>
    <t>ORD-00763</t>
  </si>
  <si>
    <t>ORD-00764</t>
  </si>
  <si>
    <t>CUST-0437</t>
  </si>
  <si>
    <t>ORD-00765</t>
  </si>
  <si>
    <t>ORD-00766</t>
  </si>
  <si>
    <t>ORD-00767</t>
  </si>
  <si>
    <t>ORD-00768</t>
  </si>
  <si>
    <t>ORD-00769</t>
  </si>
  <si>
    <t>ORD-00770</t>
  </si>
  <si>
    <t>ORD-00771</t>
  </si>
  <si>
    <t>CUST-0424</t>
  </si>
  <si>
    <t>ORD-00772</t>
  </si>
  <si>
    <t>CUST-0349</t>
  </si>
  <si>
    <t>ORD-00773</t>
  </si>
  <si>
    <t>ORD-00774</t>
  </si>
  <si>
    <t>ORD-00775</t>
  </si>
  <si>
    <t>CUST-0181</t>
  </si>
  <si>
    <t>ORD-00776</t>
  </si>
  <si>
    <t>ORD-00777</t>
  </si>
  <si>
    <t>CUST-0001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</si>
  <si>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</si>
  <si>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</si>
  <si>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</si>
  <si>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</si>
  <si>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</si>
  <si>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</si>
  <si>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</si>
  <si>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</si>
  <si>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</si>
  <si>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</si>
  <si>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</si>
  <si>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</si>
  <si>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</si>
  <si>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CUST-0287</t>
  </si>
  <si>
    <t>ORD-00791</t>
  </si>
  <si>
    <t>ORD-00792</t>
  </si>
  <si>
    <t>ORD-00793</t>
  </si>
  <si>
    <t>CUST-0297</t>
  </si>
  <si>
    <t>ORD-00794</t>
  </si>
  <si>
    <t>ORD-00795</t>
  </si>
  <si>
    <t>CUST-0028</t>
  </si>
  <si>
    <t>ORD-00796</t>
  </si>
  <si>
    <t>ORD-00797</t>
  </si>
  <si>
    <t>ORD-00798</t>
  </si>
  <si>
    <t>ORD-00799</t>
  </si>
  <si>
    <t>ORD-00800</t>
  </si>
  <si>
    <t>ORD-00801</t>
  </si>
  <si>
    <t>CUST-0476</t>
  </si>
  <si>
    <t>ORD-00802</t>
  </si>
  <si>
    <t>CUST-0240</t>
  </si>
  <si>
    <t>ORD-00803</t>
  </si>
  <si>
    <t>ORD-00804</t>
  </si>
  <si>
    <t>CUST-0100</t>
  </si>
  <si>
    <t>ORD-00805</t>
  </si>
  <si>
    <t>CUST-0101</t>
  </si>
  <si>
    <t>ORD-00806</t>
  </si>
  <si>
    <t>CUST-0200</t>
  </si>
  <si>
    <t>ORD-00807</t>
  </si>
  <si>
    <t>ORD-00808</t>
  </si>
  <si>
    <t>CUST-0291</t>
  </si>
  <si>
    <t>ORD-00809</t>
  </si>
  <si>
    <t>CUST-0223</t>
  </si>
  <si>
    <t>ORD-00810</t>
  </si>
  <si>
    <t>CUST-0190</t>
  </si>
  <si>
    <t>ORD-00811</t>
  </si>
  <si>
    <t>ORD-00812</t>
  </si>
  <si>
    <t>ORD-00813</t>
  </si>
  <si>
    <t>ORD-00814</t>
  </si>
  <si>
    <t>ORD-00815</t>
  </si>
  <si>
    <t>CUST-0266</t>
  </si>
  <si>
    <t>ORD-00816</t>
  </si>
  <si>
    <t>ORD-00817</t>
  </si>
  <si>
    <t>CUST-0273</t>
  </si>
  <si>
    <t>ORD-00818</t>
  </si>
  <si>
    <t>ORD-00819</t>
  </si>
  <si>
    <t>CUST-0125</t>
  </si>
  <si>
    <t>ORD-00820</t>
  </si>
  <si>
    <t>ORD-00821</t>
  </si>
  <si>
    <t>ORD-00822</t>
  </si>
  <si>
    <t>ORD-00823</t>
  </si>
  <si>
    <t>CUST-0245</t>
  </si>
  <si>
    <t>ORD-00824</t>
  </si>
  <si>
    <t>ORD-00825</t>
  </si>
  <si>
    <t>ORD-00826</t>
  </si>
  <si>
    <t>CUST-0038</t>
  </si>
  <si>
    <t>ORD-00827</t>
  </si>
  <si>
    <t>ORD-00828</t>
  </si>
  <si>
    <t>ORD-00829</t>
  </si>
  <si>
    <t>CUST-0226</t>
  </si>
  <si>
    <t>ORD-00830</t>
  </si>
  <si>
    <t>ORD-00831</t>
  </si>
  <si>
    <t>CUST-0047</t>
  </si>
  <si>
    <t>ORD-00832</t>
  </si>
  <si>
    <t>CUST-0379</t>
  </si>
  <si>
    <t>ORD-00833</t>
  </si>
  <si>
    <t>CUST-0386</t>
  </si>
  <si>
    <t>ORD-00834</t>
  </si>
  <si>
    <t>ORD-00835</t>
  </si>
  <si>
    <t>ORD-00836</t>
  </si>
  <si>
    <t>ORD-00837</t>
  </si>
  <si>
    <t>ORD-00838</t>
  </si>
  <si>
    <t>CUST-0284</t>
  </si>
  <si>
    <t>ORD-00839</t>
  </si>
  <si>
    <t>ORD-00840</t>
  </si>
  <si>
    <t>ORD-00841</t>
  </si>
  <si>
    <t>ORD-00842</t>
  </si>
  <si>
    <t>CUST-0594</t>
  </si>
  <si>
    <t>ORD-00843</t>
  </si>
  <si>
    <t>CUST-0334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</si>
  <si>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</si>
  <si>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</si>
  <si>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</si>
  <si>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</si>
  <si>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</si>
  <si>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</si>
  <si>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</si>
  <si>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</si>
  <si>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</si>
  <si>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CUST-0035</t>
  </si>
  <si>
    <t>ORD-00853</t>
  </si>
  <si>
    <t>ORD-00854</t>
  </si>
  <si>
    <t>ORD-00855</t>
  </si>
  <si>
    <t>ORD-00856</t>
  </si>
  <si>
    <t>CUST-0475</t>
  </si>
  <si>
    <t>ORD-00857</t>
  </si>
  <si>
    <t>CUST-0002</t>
  </si>
  <si>
    <t>ORD-00858</t>
  </si>
  <si>
    <t>ORD-00859</t>
  </si>
  <si>
    <t>ORD-00860</t>
  </si>
  <si>
    <t>CUST-0376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</si>
  <si>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</si>
  <si>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</si>
  <si>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</si>
  <si>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</si>
  <si>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</si>
  <si>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</si>
  <si>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</si>
  <si>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</si>
  <si>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</si>
  <si>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</si>
  <si>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CUST-0543</t>
  </si>
  <si>
    <t>ORD-00871</t>
  </si>
  <si>
    <t>ORD-00872</t>
  </si>
  <si>
    <t>ORD-00873</t>
  </si>
  <si>
    <t>ORD-00874</t>
  </si>
  <si>
    <t>ORD-00875</t>
  </si>
  <si>
    <t>CUST-0152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</si>
  <si>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</si>
  <si>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</si>
  <si>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</si>
  <si>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</si>
  <si>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</si>
  <si>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</si>
  <si>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</si>
  <si>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</si>
  <si>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</si>
  <si>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</si>
  <si>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</si>
  <si>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</si>
  <si>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</si>
  <si>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CUST-0570</t>
  </si>
  <si>
    <t>ORD-00889</t>
  </si>
  <si>
    <t>ORD-00890</t>
  </si>
  <si>
    <t>ORD-00891</t>
  </si>
  <si>
    <t>CUST-0128</t>
  </si>
  <si>
    <t>ORD-00892</t>
  </si>
  <si>
    <t>ORD-00893</t>
  </si>
  <si>
    <t>ORD-00894</t>
  </si>
  <si>
    <t>ORD-00895</t>
  </si>
  <si>
    <t>CUST-0366</t>
  </si>
  <si>
    <t>ORD-00896</t>
  </si>
  <si>
    <t>ORD-00897</t>
  </si>
  <si>
    <t>CUST-0097</t>
  </si>
  <si>
    <t>ORD-00898</t>
  </si>
  <si>
    <t>ORD-00899</t>
  </si>
  <si>
    <t>CUST-0531</t>
  </si>
  <si>
    <t>ORD-00900</t>
  </si>
  <si>
    <t>ORD-00901</t>
  </si>
  <si>
    <t>ORD-00902</t>
  </si>
  <si>
    <t>ORD-00903</t>
  </si>
  <si>
    <t>ORD-00904</t>
  </si>
  <si>
    <t>CUST-0132</t>
  </si>
  <si>
    <t>ORD-00905</t>
  </si>
  <si>
    <t>ORD-00906</t>
  </si>
  <si>
    <t>ORD-00907</t>
  </si>
  <si>
    <t>CUST-0099</t>
  </si>
  <si>
    <t>ORD-00908</t>
  </si>
  <si>
    <t>ORD-00909</t>
  </si>
  <si>
    <t>ORD-00910</t>
  </si>
  <si>
    <t>ORD-00911</t>
  </si>
  <si>
    <t>ORD-00912</t>
  </si>
  <si>
    <t>CUST-0435</t>
  </si>
  <si>
    <t>ORD-00913</t>
  </si>
  <si>
    <t>ORD-00914</t>
  </si>
  <si>
    <t>ORD-00915</t>
  </si>
  <si>
    <t>ORD-00916</t>
  </si>
  <si>
    <t>ORD-00917</t>
  </si>
  <si>
    <t>ORD-00918</t>
  </si>
  <si>
    <t>CUST-0173</t>
  </si>
  <si>
    <t>ORD-00919</t>
  </si>
  <si>
    <t>ORD-00920</t>
  </si>
  <si>
    <t>CUST-0280</t>
  </si>
  <si>
    <t>ORD-00921</t>
  </si>
  <si>
    <t>ORD-00922</t>
  </si>
  <si>
    <t>ORD-00923</t>
  </si>
  <si>
    <t>ORD-00924</t>
  </si>
  <si>
    <t>CUST-0505</t>
  </si>
  <si>
    <t>ORD-00925</t>
  </si>
  <si>
    <t>ORD-00926</t>
  </si>
  <si>
    <t>ORD-00927</t>
  </si>
  <si>
    <t>CUST-0169</t>
  </si>
  <si>
    <t>ORD-00928</t>
  </si>
  <si>
    <t>ORD-00929</t>
  </si>
  <si>
    <t>ORD-00930</t>
  </si>
  <si>
    <t>ORD-00931</t>
  </si>
  <si>
    <t>ORD-00932</t>
  </si>
  <si>
    <t>ORD-00933</t>
  </si>
  <si>
    <t>ORD-00934</t>
  </si>
  <si>
    <t>CUST-0472</t>
  </si>
  <si>
    <t>ORD-00935</t>
  </si>
  <si>
    <t>ORD-00936</t>
  </si>
  <si>
    <t>ORD-00937</t>
  </si>
  <si>
    <t>ORD-00938</t>
  </si>
  <si>
    <t>CUST-0549</t>
  </si>
  <si>
    <t>ORD-00939</t>
  </si>
  <si>
    <t>ORD-00940</t>
  </si>
  <si>
    <t>CUST-0438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</si>
  <si>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</si>
  <si>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</si>
  <si>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</si>
  <si>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</si>
  <si>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</si>
  <si>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</si>
  <si>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</si>
  <si>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</si>
  <si>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</si>
  <si>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</si>
  <si>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</si>
  <si>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</si>
  <si>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</si>
  <si>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</si>
  <si>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</si>
  <si>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</si>
  <si>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CUST-0372</t>
  </si>
  <si>
    <t>ORD-00957</t>
  </si>
  <si>
    <t>CUST-0036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</si>
  <si>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</si>
  <si>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</si>
  <si>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</si>
  <si>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</si>
  <si>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</si>
  <si>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</si>
  <si>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</si>
  <si>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</si>
  <si>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CUST-0256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</si>
  <si>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</si>
  <si>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</si>
  <si>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</si>
  <si>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</si>
  <si>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</si>
  <si>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</si>
  <si>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</si>
  <si>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</si>
  <si>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</si>
  <si>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CUST-0462</t>
  </si>
  <si>
    <t>ORD-00975</t>
  </si>
  <si>
    <t>ORD-00976</t>
  </si>
  <si>
    <t>ORD-00977</t>
  </si>
  <si>
    <t>ORD-00978</t>
  </si>
  <si>
    <t>ORD-00979</t>
  </si>
  <si>
    <t>ORD-00980</t>
  </si>
  <si>
    <t>CUST-0120</t>
  </si>
  <si>
    <t>ORD-00981</t>
  </si>
  <si>
    <t>CUST-0441</t>
  </si>
  <si>
    <t>ORD-00982</t>
  </si>
  <si>
    <t>CUST-0324</t>
  </si>
  <si>
    <t>ORD-00983</t>
  </si>
  <si>
    <t>CUST-0153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</si>
  <si>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</si>
  <si>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</si>
  <si>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</si>
  <si>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</si>
  <si>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</si>
  <si>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</si>
  <si>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</si>
  <si>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</si>
  <si>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</si>
  <si>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</si>
  <si>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CUST-0262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</si>
  <si>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</si>
  <si>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</si>
  <si>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</si>
  <si>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</si>
  <si>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</si>
  <si>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</si>
  <si>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</si>
  <si>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</si>
  <si>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CUST-0111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</si>
  <si>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</si>
  <si>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</si>
  <si>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</si>
  <si>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</si>
  <si>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</si>
  <si>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</si>
  <si>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</si>
  <si>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</si>
  <si>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</si>
  <si>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</si>
  <si>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</si>
  <si>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</si>
  <si>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</si>
  <si>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</si>
  <si>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</si>
  <si>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CUST-0428</t>
  </si>
  <si>
    <t>ORD-01017</t>
  </si>
  <si>
    <t>ORD-01018</t>
  </si>
  <si>
    <t>ORD-01019</t>
  </si>
  <si>
    <t>ORD-01020</t>
  </si>
  <si>
    <t>ORD-01021</t>
  </si>
  <si>
    <t>ORD-01022</t>
  </si>
  <si>
    <t>ORD-01023</t>
  </si>
  <si>
    <t>CUST-0233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</si>
  <si>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</si>
  <si>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</si>
  <si>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</si>
  <si>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</si>
  <si>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</si>
  <si>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</si>
  <si>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</si>
  <si>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</si>
  <si>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</si>
  <si>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</si>
  <si>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</si>
  <si>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</si>
  <si>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CUST-0353</t>
  </si>
  <si>
    <t>ORD-01036</t>
  </si>
  <si>
    <t>CUST-0211</t>
  </si>
  <si>
    <t>ORD-01037</t>
  </si>
  <si>
    <t>ORD-01038</t>
  </si>
  <si>
    <t>ORD-01039</t>
  </si>
  <si>
    <t>ORD-01040</t>
  </si>
  <si>
    <t>ORD-01041</t>
  </si>
  <si>
    <t>CUST-0049</t>
  </si>
  <si>
    <t>ORD-01042</t>
  </si>
  <si>
    <t>CUST-0596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</si>
  <si>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</si>
  <si>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</si>
  <si>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</si>
  <si>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</si>
  <si>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</si>
  <si>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</si>
  <si>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</si>
  <si>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</si>
  <si>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</si>
  <si>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</si>
  <si>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CUST-0221</t>
  </si>
  <si>
    <t>ORD-01053</t>
  </si>
  <si>
    <t>ORD-01054</t>
  </si>
  <si>
    <t>ORD-01055</t>
  </si>
  <si>
    <t>ORD-01056</t>
  </si>
  <si>
    <t>ORD-01057</t>
  </si>
  <si>
    <t>CUST-0026</t>
  </si>
  <si>
    <t>ORD-01058</t>
  </si>
  <si>
    <t>CUST-0555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</si>
  <si>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</si>
  <si>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</si>
  <si>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</si>
  <si>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</si>
  <si>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</si>
  <si>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</si>
  <si>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</si>
  <si>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</si>
  <si>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</si>
  <si>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</si>
  <si>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CUST-0104</t>
  </si>
  <si>
    <t>ORD-01069</t>
  </si>
  <si>
    <t>ORD-01070</t>
  </si>
  <si>
    <t>ORD-01071</t>
  </si>
  <si>
    <t>ORD-01072</t>
  </si>
  <si>
    <t>CUST-0218</t>
  </si>
  <si>
    <t>ORD-01073</t>
  </si>
  <si>
    <t>ORD-01074</t>
  </si>
  <si>
    <t>ORD-01075</t>
  </si>
  <si>
    <t>CUST-0350</t>
  </si>
  <si>
    <t>ORD-01076</t>
  </si>
  <si>
    <t>ORD-01077</t>
  </si>
  <si>
    <t>CUST-0403</t>
  </si>
  <si>
    <t>ORD-01078</t>
  </si>
  <si>
    <t>ORD-01079</t>
  </si>
  <si>
    <t>ORD-01080</t>
  </si>
  <si>
    <t>ORD-01081</t>
  </si>
  <si>
    <t>ORD-01082</t>
  </si>
  <si>
    <t>CUST-0008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</si>
  <si>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</si>
  <si>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</si>
  <si>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</si>
  <si>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</si>
  <si>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</si>
  <si>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</si>
  <si>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</si>
  <si>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</si>
  <si>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</si>
  <si>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</si>
  <si>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</si>
  <si>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</si>
  <si>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</si>
  <si>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CUST-0057</t>
  </si>
  <si>
    <t>ORD-01096</t>
  </si>
  <si>
    <t>ORD-01097</t>
  </si>
  <si>
    <t>ORD-01098</t>
  </si>
  <si>
    <t>CUST-0027</t>
  </si>
  <si>
    <t>ORD-01099</t>
  </si>
  <si>
    <t>ORD-01100</t>
  </si>
  <si>
    <t>CUST-0456</t>
  </si>
  <si>
    <t>ORD-01101</t>
  </si>
  <si>
    <t>ORD-01102</t>
  </si>
  <si>
    <t>ORD-01103</t>
  </si>
  <si>
    <t>ORD-01104</t>
  </si>
  <si>
    <t>ORD-01105</t>
  </si>
  <si>
    <t>ORD-01106</t>
  </si>
  <si>
    <t>CUST-0508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</si>
  <si>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</si>
  <si>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</si>
  <si>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</si>
  <si>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</si>
  <si>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</si>
  <si>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</si>
  <si>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</si>
  <si>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</si>
  <si>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</si>
  <si>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</si>
  <si>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</si>
  <si>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</si>
  <si>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</si>
  <si>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</si>
  <si>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</si>
  <si>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</si>
  <si>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</si>
  <si>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</si>
  <si>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</si>
  <si>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</si>
  <si>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</si>
  <si>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</si>
  <si>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</si>
  <si>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</si>
  <si>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</si>
  <si>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</si>
  <si>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</si>
  <si>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</si>
  <si>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</si>
  <si>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</si>
  <si>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CUST-0584</t>
  </si>
  <si>
    <t>ORD-01137</t>
  </si>
  <si>
    <t>ORD-01138</t>
  </si>
  <si>
    <t>ORD-01139</t>
  </si>
  <si>
    <t>ORD-01140</t>
  </si>
  <si>
    <t>ORD-01141</t>
  </si>
  <si>
    <t>ORD-01142</t>
  </si>
  <si>
    <t>ORD-01143</t>
  </si>
  <si>
    <t>CUST-0253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</si>
  <si>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</si>
  <si>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</si>
  <si>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</si>
  <si>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</si>
  <si>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</si>
  <si>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</si>
  <si>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</si>
  <si>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</si>
  <si>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</si>
  <si>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</si>
  <si>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CUST-0182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</si>
  <si>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</si>
  <si>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</si>
  <si>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</si>
  <si>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</si>
  <si>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</si>
  <si>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</si>
  <si>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</si>
  <si>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</si>
  <si>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CUST-0016</t>
  </si>
  <si>
    <t>ORD-01162</t>
  </si>
  <si>
    <t>ORD-01163</t>
  </si>
  <si>
    <t>ORD-01164</t>
  </si>
  <si>
    <t>ORD-01165</t>
  </si>
  <si>
    <t>ORD-01166</t>
  </si>
  <si>
    <t>CUST-0516</t>
  </si>
  <si>
    <t>ORD-01167</t>
  </si>
  <si>
    <t>ORD-01168</t>
  </si>
  <si>
    <t>ORD-01169</t>
  </si>
  <si>
    <t>ORD-01170</t>
  </si>
  <si>
    <t>ORD-01171</t>
  </si>
  <si>
    <t>ORD-01172</t>
  </si>
  <si>
    <t>CUST-0072</t>
  </si>
  <si>
    <t>ORD-01173</t>
  </si>
  <si>
    <t>ORD-01174</t>
  </si>
  <si>
    <t>ORD-01175</t>
  </si>
  <si>
    <t>ORD-01176</t>
  </si>
  <si>
    <t>ORD-01177</t>
  </si>
  <si>
    <t>ORD-01178</t>
  </si>
  <si>
    <t>CUST-0385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</si>
  <si>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</si>
  <si>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</si>
  <si>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</si>
  <si>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</si>
  <si>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</si>
  <si>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</si>
  <si>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</si>
  <si>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</si>
  <si>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CUST-0083</t>
  </si>
  <si>
    <t>ORD-01187</t>
  </si>
  <si>
    <t>ORD-01188</t>
  </si>
  <si>
    <t>ORD-01189</t>
  </si>
  <si>
    <t>ORD-01190</t>
  </si>
  <si>
    <t>ORD-01191</t>
  </si>
  <si>
    <t>ORD-01192</t>
  </si>
  <si>
    <t>ORD-01193</t>
  </si>
  <si>
    <t>CUST-0082</t>
  </si>
  <si>
    <t>ORD-01194</t>
  </si>
  <si>
    <t>ORD-01195</t>
  </si>
  <si>
    <t>ORD-01196</t>
  </si>
  <si>
    <t>ORD-01197</t>
  </si>
  <si>
    <t>CUST-0323</t>
  </si>
  <si>
    <t>ORD-01198</t>
  </si>
  <si>
    <t>ORD-01199</t>
  </si>
  <si>
    <t>ORD-01200</t>
  </si>
  <si>
    <t>CUST-0009</t>
  </si>
  <si>
    <t>CUST-0014</t>
  </si>
  <si>
    <t>CUST-0015</t>
  </si>
  <si>
    <t>CUST-0018</t>
  </si>
  <si>
    <t>CUST-0031</t>
  </si>
  <si>
    <t>CUST-0043</t>
  </si>
  <si>
    <t>CUST-0059</t>
  </si>
  <si>
    <t>CUST-0061</t>
  </si>
  <si>
    <t>CUST-0066</t>
  </si>
  <si>
    <t>CUST-0067</t>
  </si>
  <si>
    <t>CUST-0069</t>
  </si>
  <si>
    <t>CUST-0078</t>
  </si>
  <si>
    <t>CUST-0084</t>
  </si>
  <si>
    <t>CUST-0086</t>
  </si>
  <si>
    <t>CUST-0129</t>
  </si>
  <si>
    <t>CUST-0131</t>
  </si>
  <si>
    <t>CUST-0145</t>
  </si>
  <si>
    <t>CUST-0146</t>
  </si>
  <si>
    <t>CUST-0149</t>
  </si>
  <si>
    <t>CUST-0168</t>
  </si>
  <si>
    <t>CUST-0174</t>
  </si>
  <si>
    <t>CUST-0177</t>
  </si>
  <si>
    <t>CUST-0187</t>
  </si>
  <si>
    <t>CUST-0188</t>
  </si>
  <si>
    <t>CUST-0189</t>
  </si>
  <si>
    <t>CUST-0191</t>
  </si>
  <si>
    <t>CUST-0210</t>
  </si>
  <si>
    <t>CUST-0214</t>
  </si>
  <si>
    <t>CUST-0220</t>
  </si>
  <si>
    <t>CUST-0260</t>
  </si>
  <si>
    <t>CUST-0261</t>
  </si>
  <si>
    <t>CUST-0264</t>
  </si>
  <si>
    <t>CUST-0270</t>
  </si>
  <si>
    <t>CUST-0281</t>
  </si>
  <si>
    <t>CUST-0288</t>
  </si>
  <si>
    <t>CUST-0289</t>
  </si>
  <si>
    <t>CUST-0301</t>
  </si>
  <si>
    <t>CUST-0304</t>
  </si>
  <si>
    <t>CUST-0305</t>
  </si>
  <si>
    <t>CUST-0316</t>
  </si>
  <si>
    <t>CUST-0335</t>
  </si>
  <si>
    <t>CUST-0356</t>
  </si>
  <si>
    <t>CUST-0358</t>
  </si>
  <si>
    <t>CUST-0359</t>
  </si>
  <si>
    <t>CUST-0362</t>
  </si>
  <si>
    <t>CUST-0368</t>
  </si>
  <si>
    <t>CUST-0371</t>
  </si>
  <si>
    <t>CUST-0393</t>
  </si>
  <si>
    <t>CUST-0396</t>
  </si>
  <si>
    <t>CUST-0401</t>
  </si>
  <si>
    <t>CUST-0402</t>
  </si>
  <si>
    <t>CUST-0409</t>
  </si>
  <si>
    <t>CUST-0411</t>
  </si>
  <si>
    <t>CUST-0412</t>
  </si>
  <si>
    <t>CUST-0432</t>
  </si>
  <si>
    <t>CUST-0440</t>
  </si>
  <si>
    <t>CUST-0443</t>
  </si>
  <si>
    <t>CUST-0450</t>
  </si>
  <si>
    <t>CUST-0452</t>
  </si>
  <si>
    <t>CUST-0453</t>
  </si>
  <si>
    <t>CUST-0459</t>
  </si>
  <si>
    <t>CUST-0460</t>
  </si>
  <si>
    <t>CUST-0467</t>
  </si>
  <si>
    <t>CUST-0481</t>
  </si>
  <si>
    <t>CUST-0493</t>
  </si>
  <si>
    <t>CUST-0498</t>
  </si>
  <si>
    <t>CUST-0501</t>
  </si>
  <si>
    <t>CUST-0503</t>
  </si>
  <si>
    <t>CUST-0519</t>
  </si>
  <si>
    <t>CUST-0523</t>
  </si>
  <si>
    <t>CUST-0532</t>
  </si>
  <si>
    <t>CUST-0535</t>
  </si>
  <si>
    <t>CUST-0538</t>
  </si>
  <si>
    <t>CUST-0548</t>
  </si>
  <si>
    <t>CUST-0566</t>
  </si>
  <si>
    <t>CUST-0577</t>
  </si>
  <si>
    <t>CUST-0581</t>
  </si>
  <si>
    <t>CUST-0589</t>
  </si>
  <si>
    <t>CUST-0595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</si>
</sst>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mmm"/>
    <numFmt numFmtId="167" formatCode="\$#,##0"/>
  </numFmts>
  <fonts count="9">
    <font>
      <sz val="11"/>
      <name val="Carlito"/>
    </font>
    <font>
      <b/>
      <sz val="11"/>
      <color rgb="FFFFFFFF"/>
      <name val="Carlito"/>
    </font>
    <font>
      <b/>
      <sz val="22"/>
      <color rgb="FFFFFFFF"/>
      <name val="Carlito"/>
    </font>
    <font>
      <i/>
      <sz val="10"/>
      <color rgb="FF5B6770"/>
      <name val="Carlito"/>
    </font>
    <font>
      <b/>
      <sz val="9"/>
      <color rgb="FF5B6770"/>
      <name val="Carlito"/>
    </font>
    <font>
      <sz val="11"/>
      <color rgb="FF243746"/>
      <name val="Carlito"/>
    </font>
    <font>
      <b/>
      <sz val="9"/>
      <color rgb="FFBFD7EA"/>
      <name val="Carlito"/>
    </font>
    <font>
      <b/>
      <sz val="11"/>
      <color rgb="FF17324D"/>
      <name val="Carlito"/>
    </font>
    <font>
      <b/>
      <sz val="20"/>
      <color rgb="FF17324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4F7FA"/>
      </patternFill>
    </fill>
    <fill>
      <patternFill patternType="solid">
        <fgColor rgb="FFE9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166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7" fillId="4" borderId="0" xfId="0" applyNumberFormat="1" applyFont="1" applyFill="1"/>
    <xf numFmtId="0" fontId="7" fillId="4" borderId="0" xfId="0" applyFont="1" applyFill="1"/>
    <xf numFmtId="0" fontId="3" fillId="0" borderId="0" xfId="0" applyFont="1" applyAlignment="1">
      <alignment horizontal="left"/>
    </xf>
    <xf numFmtId="0" fontId="1" fillId="2" borderId="0" xfId="0" applyFont="1" applyFill="1"/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\$#,##0</c:formatCode>
                <c:ptCount val="12"/>
                <c:pt idx="0">
                  <c:v>10780.720000000001</c:v>
                </c:pt>
                <c:pt idx="1">
                  <c:v>13360.769999999995</c:v>
                </c:pt>
                <c:pt idx="2">
                  <c:v>10887.22</c:v>
                </c:pt>
                <c:pt idx="3">
                  <c:v>8211.3599999999969</c:v>
                </c:pt>
                <c:pt idx="4">
                  <c:v>9466.1900000000041</c:v>
                </c:pt>
                <c:pt idx="5">
                  <c:v>12092.839999999997</c:v>
                </c:pt>
                <c:pt idx="6">
                  <c:v>12095.220000000001</c:v>
                </c:pt>
                <c:pt idx="7">
                  <c:v>10490.200000000003</c:v>
                </c:pt>
                <c:pt idx="8">
                  <c:v>9308.1600000000017</c:v>
                </c:pt>
                <c:pt idx="9">
                  <c:v>10844.659999999998</c:v>
                </c:pt>
                <c:pt idx="10">
                  <c:v>11179.940000000002</c:v>
                </c:pt>
                <c:pt idx="11">
                  <c:v>14183.390000000001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BB-4C6B-BA53-8C3D31493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Dashboard!$F$11:$F$15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Dashboard!$G$11:$G$15</c:f>
              <c:numCache>
                <c:formatCode>\$#,##0</c:formatCode>
                <c:ptCount val="5"/>
                <c:pt idx="0">
                  <c:v>39748.609999999993</c:v>
                </c:pt>
                <c:pt idx="1">
                  <c:v>20053.880000000019</c:v>
                </c:pt>
                <c:pt idx="2">
                  <c:v>40945.33999999996</c:v>
                </c:pt>
                <c:pt idx="3">
                  <c:v>16698.490000000002</c:v>
                </c:pt>
                <c:pt idx="4">
                  <c:v>15454.350000000006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1-4ECF-B903-022813F31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Revenue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strRef>
              <c:f>Dashboard!$I$11:$I$14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Dashboard!$J$11:$J$14</c:f>
              <c:numCache>
                <c:formatCode>\$#,##0</c:formatCode>
                <c:ptCount val="4"/>
                <c:pt idx="0">
                  <c:v>30639.100000000006</c:v>
                </c:pt>
                <c:pt idx="1">
                  <c:v>32657.35000000002</c:v>
                </c:pt>
                <c:pt idx="2">
                  <c:v>34360.92</c:v>
                </c:pt>
                <c:pt idx="3">
                  <c:v>35243.299999999988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2-4125-8FCB-F087428FE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Monthly Orders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Dashboard!$B$11:$B$22</c:f>
              <c:numCache>
                <c:formatCode>\$#,##0</c:formatCode>
                <c:ptCount val="12"/>
                <c:pt idx="0">
                  <c:v>10780.720000000001</c:v>
                </c:pt>
                <c:pt idx="1">
                  <c:v>13360.769999999995</c:v>
                </c:pt>
                <c:pt idx="2">
                  <c:v>10887.22</c:v>
                </c:pt>
                <c:pt idx="3">
                  <c:v>8211.3599999999969</c:v>
                </c:pt>
                <c:pt idx="4">
                  <c:v>9466.1900000000041</c:v>
                </c:pt>
                <c:pt idx="5">
                  <c:v>12092.839999999997</c:v>
                </c:pt>
                <c:pt idx="6">
                  <c:v>12095.220000000001</c:v>
                </c:pt>
                <c:pt idx="7">
                  <c:v>10490.200000000003</c:v>
                </c:pt>
                <c:pt idx="8">
                  <c:v>9308.1600000000017</c:v>
                </c:pt>
                <c:pt idx="9">
                  <c:v>10844.659999999998</c:v>
                </c:pt>
                <c:pt idx="10">
                  <c:v>11179.940000000002</c:v>
                </c:pt>
                <c:pt idx="11">
                  <c:v>14183.390000000001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AA-4586-AC7D-97082C64B932}"/>
            </c:ext>
          </c:extLst>
        </c:ser>
        <c:ser>
          <c:idx val="1"/>
          <c:order val="1"/>
          <c:tx>
            <c:v>Orders</c:v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General</c:formatCode>
                <c:ptCount val="12"/>
                <c:pt idx="0">
                  <c:v>90</c:v>
                </c:pt>
                <c:pt idx="1">
                  <c:v>104</c:v>
                </c:pt>
                <c:pt idx="2">
                  <c:v>99</c:v>
                </c:pt>
                <c:pt idx="3">
                  <c:v>80</c:v>
                </c:pt>
                <c:pt idx="4">
                  <c:v>92</c:v>
                </c:pt>
                <c:pt idx="5">
                  <c:v>108</c:v>
                </c:pt>
                <c:pt idx="6">
                  <c:v>103</c:v>
                </c:pt>
                <c:pt idx="7">
                  <c:v>99</c:v>
                </c:pt>
                <c:pt idx="8">
                  <c:v>90</c:v>
                </c:pt>
                <c:pt idx="9">
                  <c:v>108</c:v>
                </c:pt>
                <c:pt idx="10">
                  <c:v>107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AA-4586-AC7D-97082C64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48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K1201" totalsRowShown="0">
  <tableColumns count="11">
    <tableColumn id="1" xr3:uid="{00000000-0010-0000-0000-000001000000}" name="Order ID"/>
    <tableColumn id="2" xr3:uid="{00000000-0010-0000-0000-000002000000}" name="Order Date"/>
    <tableColumn id="3" xr3:uid="{00000000-0010-0000-0000-000003000000}" name="Customer ID"/>
    <tableColumn id="4" xr3:uid="{00000000-0010-0000-0000-000004000000}" name="Region"/>
    <tableColumn id="5" xr3:uid="{00000000-0010-0000-0000-000005000000}" name="Category"/>
    <tableColumn id="6" xr3:uid="{00000000-0010-0000-0000-000006000000}" name="Product"/>
    <tableColumn id="7" xr3:uid="{00000000-0010-0000-0000-000007000000}" name="Quantity"/>
    <tableColumn id="8" xr3:uid="{00000000-0010-0000-0000-000008000000}" name="Unit Price"/>
    <tableColumn id="9" xr3:uid="{00000000-0010-0000-0000-000009000000}" name="Discount"/>
    <tableColumn id="10" xr3:uid="{00000000-0010-0000-0000-00000A000000}" name="Revenue"/>
    <tableColumn id="11" xr3:uid="{00000000-0010-0000-0000-00000B000000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111" workbookViewId="0">
      <selection activeCell="M74" sqref="M74"/>
    </sheetView>
  </sheetViews>
  <sheetFormatPr defaultRowHeight="13.8"/>
  <cols>
    <col min="1" max="2" width="14" customWidth="1"/>
    <col min="3" max="3" width="11" customWidth="1"/>
    <col min="4" max="4" width="12" customWidth="1"/>
    <col min="5" max="5" width="3" customWidth="1"/>
    <col min="6" max="6" width="20" customWidth="1"/>
    <col min="7" max="7" width="14" customWidth="1"/>
    <col min="8" max="8" width="3" customWidth="1"/>
    <col min="9" max="9" width="12" customWidth="1"/>
    <col min="10" max="10" width="14" customWidth="1"/>
    <col min="11" max="11" width="3" customWidth="1"/>
    <col min="12" max="12" width="22" customWidth="1"/>
    <col min="13" max="13" width="14" customWidth="1"/>
    <col min="14" max="14" width="11" customWidth="1"/>
  </cols>
  <sheetData>
    <row r="1" spans="1:14" ht="19.2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2" customHeight="1">
      <c r="A2" s="21"/>
      <c r="B2" s="21"/>
      <c r="C2" s="21"/>
      <c r="D2" s="21"/>
      <c r="E2" s="21"/>
      <c r="F2" s="21"/>
      <c r="G2" s="21"/>
      <c r="H2" s="21"/>
      <c r="I2" s="22" t="s">
        <v>1</v>
      </c>
      <c r="J2" s="22"/>
      <c r="K2" s="22"/>
      <c r="L2" s="22"/>
      <c r="M2" s="22"/>
      <c r="N2" s="22"/>
    </row>
    <row r="3" spans="1:14" ht="19.2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spans="1:14" ht="19.2" customHeight="1">
      <c r="A5" s="16" t="s">
        <v>3</v>
      </c>
      <c r="B5" s="16"/>
      <c r="C5" s="16"/>
      <c r="D5" s="16" t="s">
        <v>4</v>
      </c>
      <c r="E5" s="16"/>
      <c r="F5" s="16"/>
      <c r="G5" s="16" t="s">
        <v>5</v>
      </c>
      <c r="H5" s="16"/>
      <c r="I5" s="16"/>
      <c r="J5" s="16" t="s">
        <v>6</v>
      </c>
      <c r="K5" s="16"/>
      <c r="L5" s="16"/>
      <c r="M5" s="16" t="s">
        <v>7</v>
      </c>
      <c r="N5" s="16"/>
    </row>
    <row r="6" spans="1:14" ht="19.2" customHeight="1">
      <c r="A6" s="17">
        <f>SUM(Data!J2:J1201)</f>
        <v>132900.67000000007</v>
      </c>
      <c r="B6" s="18"/>
      <c r="C6" s="18"/>
      <c r="D6" s="19">
        <f>COUNTA(Data!A2:A1201)</f>
        <v>1200</v>
      </c>
      <c r="E6" s="18"/>
      <c r="F6" s="18"/>
      <c r="G6" s="19">
        <f>SUM(Lists!G1:G600)</f>
        <v>521</v>
      </c>
      <c r="H6" s="18"/>
      <c r="I6" s="18"/>
      <c r="J6" s="20">
        <f>SUM(Data!J2:J1201)/COUNTA(Data!A2:A1201)</f>
        <v>110.75055833333339</v>
      </c>
      <c r="K6" s="18"/>
      <c r="L6" s="18"/>
      <c r="M6" s="19">
        <f>SUM(Data!G2:G1201)</f>
        <v>2005</v>
      </c>
      <c r="N6" s="18"/>
    </row>
    <row r="7" spans="1:14" ht="19.2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10" spans="1:14">
      <c r="A10" s="6" t="s">
        <v>8</v>
      </c>
      <c r="B10" s="6" t="s">
        <v>9</v>
      </c>
      <c r="C10" s="6" t="s">
        <v>10</v>
      </c>
      <c r="D10" s="6" t="s">
        <v>11</v>
      </c>
      <c r="E10" s="7"/>
      <c r="F10" s="6" t="s">
        <v>12</v>
      </c>
      <c r="G10" s="6" t="s">
        <v>9</v>
      </c>
      <c r="H10" s="7"/>
      <c r="I10" s="6" t="s">
        <v>13</v>
      </c>
      <c r="J10" s="6" t="s">
        <v>9</v>
      </c>
      <c r="K10" s="7"/>
      <c r="L10" s="6" t="s">
        <v>14</v>
      </c>
      <c r="M10" s="6" t="s">
        <v>9</v>
      </c>
      <c r="N10" s="6" t="s">
        <v>15</v>
      </c>
    </row>
    <row r="11" spans="1:14">
      <c r="A11" s="8" t="s">
        <v>16</v>
      </c>
      <c r="B11" s="9">
        <f>SUMIFS(Data!$J$2:$J$1201,Data!$B$2:$B$1201,"&gt;="&amp;DATE(2025,ROW()-10,1),Data!$B$2:$B$1201,"&lt;"&amp;EDATE(DATE(2025,ROW()-10,1),1))</f>
        <v>10780.720000000001</v>
      </c>
      <c r="C11" s="7">
        <f>COUNTIFS(Data!$B$2:$B$1201,"&gt;="&amp;DATE(2025,ROW()-10,1),Data!$B$2:$B$1201,"&lt;"&amp;EDATE(DATE(2025,ROW()-10,1),1))</f>
        <v>90</v>
      </c>
      <c r="D11" s="10">
        <f t="shared" ref="D11:D22" si="0">B11/C11</f>
        <v>119.7857777777778</v>
      </c>
      <c r="E11" s="7"/>
      <c r="F11" s="7" t="s">
        <v>17</v>
      </c>
      <c r="G11" s="9">
        <f>SUMIF(Data!$E$2:$E$1201,F11,Data!$J$2:$J$1201)</f>
        <v>39748.609999999993</v>
      </c>
      <c r="H11" s="7"/>
      <c r="I11" s="7" t="s">
        <v>18</v>
      </c>
      <c r="J11" s="9">
        <f>SUMIF(Data!$D$2:$D$1201,I11,Data!$J$2:$J$1201)</f>
        <v>30639.100000000006</v>
      </c>
      <c r="K11" s="7"/>
      <c r="L11" s="7" t="s">
        <v>19</v>
      </c>
      <c r="M11" s="9">
        <f>SUMIF(Data!$F$2:$F$1201,L11,Data!$J$2:$J$1201)</f>
        <v>11289.56</v>
      </c>
      <c r="N11" s="7">
        <f>SUMIF(Data!$F$2:$F$1201,L11,Data!$G$2:$G$1201)</f>
        <v>151</v>
      </c>
    </row>
    <row r="12" spans="1:14">
      <c r="A12" s="8" t="s">
        <v>20</v>
      </c>
      <c r="B12" s="9">
        <f>SUMIFS(Data!$J$2:$J$1201,Data!$B$2:$B$1201,"&gt;="&amp;DATE(2025,ROW()-10,1),Data!$B$2:$B$1201,"&lt;"&amp;EDATE(DATE(2025,ROW()-10,1),1))</f>
        <v>13360.769999999995</v>
      </c>
      <c r="C12" s="7">
        <f>COUNTIFS(Data!$B$2:$B$1201,"&gt;="&amp;DATE(2025,ROW()-10,1),Data!$B$2:$B$1201,"&lt;"&amp;EDATE(DATE(2025,ROW()-10,1),1))</f>
        <v>104</v>
      </c>
      <c r="D12" s="10">
        <f t="shared" si="0"/>
        <v>128.46894230769226</v>
      </c>
      <c r="E12" s="7"/>
      <c r="F12" s="7" t="s">
        <v>21</v>
      </c>
      <c r="G12" s="9">
        <f>SUMIF(Data!$E$2:$E$1201,F12,Data!$J$2:$J$1201)</f>
        <v>20053.880000000019</v>
      </c>
      <c r="H12" s="7"/>
      <c r="I12" s="7" t="s">
        <v>22</v>
      </c>
      <c r="J12" s="9">
        <f>SUMIF(Data!$D$2:$D$1201,I12,Data!$J$2:$J$1201)</f>
        <v>32657.35000000002</v>
      </c>
      <c r="K12" s="7"/>
      <c r="L12" s="7" t="s">
        <v>23</v>
      </c>
      <c r="M12" s="9">
        <f>SUMIF(Data!$F$2:$F$1201,L12,Data!$J$2:$J$1201)</f>
        <v>19601.960000000003</v>
      </c>
      <c r="N12" s="7">
        <f>SUMIF(Data!$F$2:$F$1201,L12,Data!$G$2:$G$1201)</f>
        <v>160</v>
      </c>
    </row>
    <row r="13" spans="1:14">
      <c r="A13" s="8" t="s">
        <v>24</v>
      </c>
      <c r="B13" s="9">
        <f>SUMIFS(Data!$J$2:$J$1201,Data!$B$2:$B$1201,"&gt;="&amp;DATE(2025,ROW()-10,1),Data!$B$2:$B$1201,"&lt;"&amp;EDATE(DATE(2025,ROW()-10,1),1))</f>
        <v>10887.22</v>
      </c>
      <c r="C13" s="7">
        <f>COUNTIFS(Data!$B$2:$B$1201,"&gt;="&amp;DATE(2025,ROW()-10,1),Data!$B$2:$B$1201,"&lt;"&amp;EDATE(DATE(2025,ROW()-10,1),1))</f>
        <v>99</v>
      </c>
      <c r="D13" s="10">
        <f t="shared" si="0"/>
        <v>109.97191919191918</v>
      </c>
      <c r="E13" s="7"/>
      <c r="F13" s="7" t="s">
        <v>25</v>
      </c>
      <c r="G13" s="9">
        <f>SUMIF(Data!$E$2:$E$1201,F13,Data!$J$2:$J$1201)</f>
        <v>40945.33999999996</v>
      </c>
      <c r="H13" s="7"/>
      <c r="I13" s="7" t="s">
        <v>26</v>
      </c>
      <c r="J13" s="9">
        <f>SUMIF(Data!$D$2:$D$1201,I13,Data!$J$2:$J$1201)</f>
        <v>34360.92</v>
      </c>
      <c r="K13" s="7"/>
      <c r="L13" s="7" t="s">
        <v>27</v>
      </c>
      <c r="M13" s="9">
        <f>SUMIF(Data!$F$2:$F$1201,L13,Data!$J$2:$J$1201)</f>
        <v>8857.0899999999983</v>
      </c>
      <c r="N13" s="7">
        <f>SUMIF(Data!$F$2:$F$1201,L13,Data!$G$2:$G$1201)</f>
        <v>158</v>
      </c>
    </row>
    <row r="14" spans="1:14">
      <c r="A14" s="8" t="s">
        <v>28</v>
      </c>
      <c r="B14" s="9">
        <f>SUMIFS(Data!$J$2:$J$1201,Data!$B$2:$B$1201,"&gt;="&amp;DATE(2025,ROW()-10,1),Data!$B$2:$B$1201,"&lt;"&amp;EDATE(DATE(2025,ROW()-10,1),1))</f>
        <v>8211.3599999999969</v>
      </c>
      <c r="C14" s="7">
        <f>COUNTIFS(Data!$B$2:$B$1201,"&gt;="&amp;DATE(2025,ROW()-10,1),Data!$B$2:$B$1201,"&lt;"&amp;EDATE(DATE(2025,ROW()-10,1),1))</f>
        <v>80</v>
      </c>
      <c r="D14" s="10">
        <f t="shared" si="0"/>
        <v>102.64199999999997</v>
      </c>
      <c r="E14" s="7"/>
      <c r="F14" s="7" t="s">
        <v>29</v>
      </c>
      <c r="G14" s="9">
        <f>SUMIF(Data!$E$2:$E$1201,F14,Data!$J$2:$J$1201)</f>
        <v>16698.490000000002</v>
      </c>
      <c r="H14" s="7"/>
      <c r="I14" s="7" t="s">
        <v>30</v>
      </c>
      <c r="J14" s="9">
        <f>SUMIF(Data!$D$2:$D$1201,I14,Data!$J$2:$J$1201)</f>
        <v>35243.299999999988</v>
      </c>
      <c r="K14" s="7"/>
      <c r="L14" s="7" t="s">
        <v>31</v>
      </c>
      <c r="M14" s="9">
        <f>SUMIF(Data!$F$2:$F$1201,L14,Data!$J$2:$J$1201)</f>
        <v>11038.230000000001</v>
      </c>
      <c r="N14" s="7">
        <f>SUMIF(Data!$F$2:$F$1201,L14,Data!$G$2:$G$1201)</f>
        <v>157</v>
      </c>
    </row>
    <row r="15" spans="1:14">
      <c r="A15" s="8" t="s">
        <v>32</v>
      </c>
      <c r="B15" s="9">
        <f>SUMIFS(Data!$J$2:$J$1201,Data!$B$2:$B$1201,"&gt;="&amp;DATE(2025,ROW()-10,1),Data!$B$2:$B$1201,"&lt;"&amp;EDATE(DATE(2025,ROW()-10,1),1))</f>
        <v>9466.1900000000041</v>
      </c>
      <c r="C15" s="7">
        <f>COUNTIFS(Data!$B$2:$B$1201,"&gt;="&amp;DATE(2025,ROW()-10,1),Data!$B$2:$B$1201,"&lt;"&amp;EDATE(DATE(2025,ROW()-10,1),1))</f>
        <v>92</v>
      </c>
      <c r="D15" s="10">
        <f t="shared" si="0"/>
        <v>102.89336956521744</v>
      </c>
      <c r="E15" s="7"/>
      <c r="F15" s="7" t="s">
        <v>33</v>
      </c>
      <c r="G15" s="9">
        <f>SUMIF(Data!$E$2:$E$1201,F15,Data!$J$2:$J$1201)</f>
        <v>15454.350000000006</v>
      </c>
      <c r="H15" s="7"/>
      <c r="I15" s="7"/>
      <c r="J15" s="7"/>
      <c r="K15" s="7"/>
      <c r="L15" s="7" t="s">
        <v>34</v>
      </c>
      <c r="M15" s="9">
        <f>SUMIF(Data!$F$2:$F$1201,L15,Data!$J$2:$J$1201)</f>
        <v>4416.12</v>
      </c>
      <c r="N15" s="7">
        <f>SUMIF(Data!$F$2:$F$1201,L15,Data!$G$2:$G$1201)</f>
        <v>162</v>
      </c>
    </row>
    <row r="16" spans="1:14">
      <c r="A16" s="8" t="s">
        <v>35</v>
      </c>
      <c r="B16" s="9">
        <f>SUMIFS(Data!$J$2:$J$1201,Data!$B$2:$B$1201,"&gt;="&amp;DATE(2025,ROW()-10,1),Data!$B$2:$B$1201,"&lt;"&amp;EDATE(DATE(2025,ROW()-10,1),1))</f>
        <v>12092.839999999997</v>
      </c>
      <c r="C16" s="7">
        <f>COUNTIFS(Data!$B$2:$B$1201,"&gt;="&amp;DATE(2025,ROW()-10,1),Data!$B$2:$B$1201,"&lt;"&amp;EDATE(DATE(2025,ROW()-10,1),1))</f>
        <v>108</v>
      </c>
      <c r="D16" s="10">
        <f t="shared" si="0"/>
        <v>111.97074074074071</v>
      </c>
      <c r="E16" s="7"/>
      <c r="F16" s="7"/>
      <c r="G16" s="7"/>
      <c r="H16" s="7"/>
      <c r="I16" s="7"/>
      <c r="J16" s="7"/>
      <c r="K16" s="7"/>
      <c r="L16" s="7" t="s">
        <v>36</v>
      </c>
      <c r="M16" s="9">
        <f>SUMIF(Data!$F$2:$F$1201,L16,Data!$J$2:$J$1201)</f>
        <v>15785.299999999994</v>
      </c>
      <c r="N16" s="7">
        <f>SUMIF(Data!$F$2:$F$1201,L16,Data!$G$2:$G$1201)</f>
        <v>184</v>
      </c>
    </row>
    <row r="17" spans="1:14">
      <c r="A17" s="8" t="s">
        <v>37</v>
      </c>
      <c r="B17" s="9">
        <f>SUMIFS(Data!$J$2:$J$1201,Data!$B$2:$B$1201,"&gt;="&amp;DATE(2025,ROW()-10,1),Data!$B$2:$B$1201,"&lt;"&amp;EDATE(DATE(2025,ROW()-10,1),1))</f>
        <v>12095.220000000001</v>
      </c>
      <c r="C17" s="7">
        <f>COUNTIFS(Data!$B$2:$B$1201,"&gt;="&amp;DATE(2025,ROW()-10,1),Data!$B$2:$B$1201,"&lt;"&amp;EDATE(DATE(2025,ROW()-10,1),1))</f>
        <v>103</v>
      </c>
      <c r="D17" s="10">
        <f t="shared" si="0"/>
        <v>117.42932038834952</v>
      </c>
      <c r="E17" s="7"/>
      <c r="F17" s="7"/>
      <c r="G17" s="7"/>
      <c r="H17" s="7"/>
      <c r="I17" s="7"/>
      <c r="J17" s="7"/>
      <c r="K17" s="7"/>
      <c r="L17" s="7" t="s">
        <v>38</v>
      </c>
      <c r="M17" s="9">
        <f>SUMIF(Data!$F$2:$F$1201,L17,Data!$J$2:$J$1201)</f>
        <v>19717.719999999994</v>
      </c>
      <c r="N17" s="7">
        <f>SUMIF(Data!$F$2:$F$1201,L17,Data!$G$2:$G$1201)</f>
        <v>175</v>
      </c>
    </row>
    <row r="18" spans="1:14">
      <c r="A18" s="8" t="s">
        <v>39</v>
      </c>
      <c r="B18" s="9">
        <f>SUMIFS(Data!$J$2:$J$1201,Data!$B$2:$B$1201,"&gt;="&amp;DATE(2025,ROW()-10,1),Data!$B$2:$B$1201,"&lt;"&amp;EDATE(DATE(2025,ROW()-10,1),1))</f>
        <v>10490.200000000003</v>
      </c>
      <c r="C18" s="7">
        <f>COUNTIFS(Data!$B$2:$B$1201,"&gt;="&amp;DATE(2025,ROW()-10,1),Data!$B$2:$B$1201,"&lt;"&amp;EDATE(DATE(2025,ROW()-10,1),1))</f>
        <v>99</v>
      </c>
      <c r="D18" s="10">
        <f t="shared" si="0"/>
        <v>105.96161616161619</v>
      </c>
      <c r="E18" s="7"/>
      <c r="F18" s="7"/>
      <c r="G18" s="7"/>
      <c r="H18" s="7"/>
      <c r="I18" s="7"/>
      <c r="J18" s="7"/>
      <c r="K18" s="7"/>
      <c r="L18" s="7" t="s">
        <v>40</v>
      </c>
      <c r="M18" s="9">
        <f>SUMIF(Data!$F$2:$F$1201,L18,Data!$J$2:$J$1201)</f>
        <v>8940.1099999999988</v>
      </c>
      <c r="N18" s="7">
        <f>SUMIF(Data!$F$2:$F$1201,L18,Data!$G$2:$G$1201)</f>
        <v>192</v>
      </c>
    </row>
    <row r="19" spans="1:14">
      <c r="A19" s="8" t="s">
        <v>41</v>
      </c>
      <c r="B19" s="9">
        <f>SUMIFS(Data!$J$2:$J$1201,Data!$B$2:$B$1201,"&gt;="&amp;DATE(2025,ROW()-10,1),Data!$B$2:$B$1201,"&lt;"&amp;EDATE(DATE(2025,ROW()-10,1),1))</f>
        <v>9308.1600000000017</v>
      </c>
      <c r="C19" s="7">
        <f>COUNTIFS(Data!$B$2:$B$1201,"&gt;="&amp;DATE(2025,ROW()-10,1),Data!$B$2:$B$1201,"&lt;"&amp;EDATE(DATE(2025,ROW()-10,1),1))</f>
        <v>90</v>
      </c>
      <c r="D19" s="10">
        <f t="shared" si="0"/>
        <v>103.42400000000002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42</v>
      </c>
      <c r="B20" s="9">
        <f>SUMIFS(Data!$J$2:$J$1201,Data!$B$2:$B$1201,"&gt;="&amp;DATE(2025,ROW()-10,1),Data!$B$2:$B$1201,"&lt;"&amp;EDATE(DATE(2025,ROW()-10,1),1))</f>
        <v>10844.659999999998</v>
      </c>
      <c r="C20" s="7">
        <f>COUNTIFS(Data!$B$2:$B$1201,"&gt;="&amp;DATE(2025,ROW()-10,1),Data!$B$2:$B$1201,"&lt;"&amp;EDATE(DATE(2025,ROW()-10,1),1))</f>
        <v>108</v>
      </c>
      <c r="D20" s="10">
        <f t="shared" si="0"/>
        <v>100.4135185185185</v>
      </c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8" t="s">
        <v>43</v>
      </c>
      <c r="B21" s="9">
        <f>SUMIFS(Data!$J$2:$J$1201,Data!$B$2:$B$1201,"&gt;="&amp;DATE(2025,ROW()-10,1),Data!$B$2:$B$1201,"&lt;"&amp;EDATE(DATE(2025,ROW()-10,1),1))</f>
        <v>11179.940000000002</v>
      </c>
      <c r="C21" s="7">
        <f>COUNTIFS(Data!$B$2:$B$1201,"&gt;="&amp;DATE(2025,ROW()-10,1),Data!$B$2:$B$1201,"&lt;"&amp;EDATE(DATE(2025,ROW()-10,1),1))</f>
        <v>107</v>
      </c>
      <c r="D21" s="10">
        <f t="shared" si="0"/>
        <v>104.48542056074768</v>
      </c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8" t="s">
        <v>44</v>
      </c>
      <c r="B22" s="9">
        <f>SUMIFS(Data!$J$2:$J$1201,Data!$B$2:$B$1201,"&gt;="&amp;DATE(2025,ROW()-10,1),Data!$B$2:$B$1201,"&lt;"&amp;EDATE(DATE(2025,ROW()-10,1),1))</f>
        <v>14183.390000000001</v>
      </c>
      <c r="C22" s="7">
        <f>COUNTIFS(Data!$B$2:$B$1201,"&gt;="&amp;DATE(2025,ROW()-10,1),Data!$B$2:$B$1201,"&lt;"&amp;EDATE(DATE(2025,ROW()-10,1),1))</f>
        <v>120</v>
      </c>
      <c r="D22" s="10">
        <f t="shared" si="0"/>
        <v>118.19491666666667</v>
      </c>
      <c r="E22" s="7"/>
      <c r="F22" s="7"/>
      <c r="G22" s="7"/>
      <c r="H22" s="7"/>
      <c r="I22" s="7"/>
      <c r="J22" s="7"/>
      <c r="K22" s="7"/>
      <c r="L22" s="7"/>
      <c r="M22" s="7"/>
      <c r="N22" s="7"/>
    </row>
    <row r="24" spans="1:14">
      <c r="A24" s="14" t="s">
        <v>45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>
      <c r="A25" s="15" t="str">
        <f>"Revenue is "&amp;TEXT(B22/B11-1,"0%")&amp;" different from January. "&amp;TEXT(MAX(G11:G15)/SUM(G11:G15),"0%")&amp;" of category revenue comes from the leading category. "&amp;TEXT(MAX(J11:J14)/SUM(J11:J14),"0%")&amp;" of regional revenue comes from the top region."</f>
        <v>Revenue is 32% different from January. 31% of category revenue comes from the leading category. 27% of regional revenue comes from the top region.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</sheetData>
  <mergeCells count="14">
    <mergeCell ref="A1:N2"/>
    <mergeCell ref="A3:N3"/>
    <mergeCell ref="A24:N24"/>
    <mergeCell ref="A25:N29"/>
    <mergeCell ref="A5:C5"/>
    <mergeCell ref="A6:C7"/>
    <mergeCell ref="D5:F5"/>
    <mergeCell ref="D6:F7"/>
    <mergeCell ref="G5:I5"/>
    <mergeCell ref="G6:I7"/>
    <mergeCell ref="J5:L5"/>
    <mergeCell ref="J6:L7"/>
    <mergeCell ref="M5:N5"/>
    <mergeCell ref="M6:N7"/>
  </mergeCells>
  <conditionalFormatting sqref="B11:B22">
    <cfRule type="dataBar" priority="1">
      <dataBar>
        <cfvo type="min"/>
        <cfvo type="max"/>
        <color rgb="FF2C7BE5"/>
      </dataBar>
    </cfRule>
    <cfRule type="dataBar" priority="4">
      <dataBar>
        <cfvo type="min"/>
        <cfvo type="max"/>
        <color rgb="FF2C7BE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11:G15">
    <cfRule type="dataBar" priority="2">
      <dataBar>
        <cfvo type="min"/>
        <cfvo type="max"/>
        <color rgb="FF00A67E"/>
      </dataBar>
    </cfRule>
    <cfRule type="dataBar" priority="5">
      <dataBar>
        <cfvo type="min"/>
        <cfvo type="max"/>
        <color rgb="FF00A67E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J11:J14">
    <cfRule type="dataBar" priority="3">
      <dataBar>
        <cfvo type="min"/>
        <cfvo type="max"/>
        <color rgb="FFF59E0B"/>
      </dataBar>
    </cfRule>
    <cfRule type="dataBar" priority="6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B11:B22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G11:G15</xm:sqref>
        </x14:conditionalFormatting>
        <x14:conditionalFormatting xmlns:xm="http://schemas.microsoft.com/office/excel/2006/main">
          <x14:cfRule type="dataBar" id="{C5593AA7-0028-5BEA-E3E0-8178783C1A47}">
            <x14:dataBar>
              <x14:cfvo type="min"/>
              <x14:cfvo type="max"/>
              <x14:negativeFillColor auto="1"/>
              <x14:axisColor auto="1"/>
            </x14:dataBar>
          </x14:cfRule>
          <xm:sqref>J11:J14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1"/>
  <sheetViews>
    <sheetView workbookViewId="0"/>
  </sheetViews>
  <sheetFormatPr defaultRowHeight="13.8"/>
  <cols>
    <col min="1" max="1" width="14" customWidth="1"/>
    <col min="2" max="2" width="12" customWidth="1"/>
    <col min="3" max="3" width="13" customWidth="1"/>
    <col min="4" max="4" width="11" customWidth="1"/>
    <col min="5" max="5" width="17" customWidth="1"/>
    <col min="6" max="6" width="22" customWidth="1"/>
    <col min="7" max="7" width="10" customWidth="1"/>
    <col min="8" max="8" width="12" customWidth="1"/>
    <col min="9" max="9" width="10" customWidth="1"/>
    <col min="10" max="10" width="13" customWidth="1"/>
    <col min="11" max="11" width="14" customWidth="1"/>
  </cols>
  <sheetData>
    <row r="1" spans="1:11" ht="17.55" customHeight="1">
      <c r="A1" s="4" t="s">
        <v>46</v>
      </c>
      <c r="B1" s="4" t="s">
        <v>47</v>
      </c>
      <c r="C1" s="4" t="s">
        <v>48</v>
      </c>
      <c r="D1" s="4" t="s">
        <v>13</v>
      </c>
      <c r="E1" s="4" t="s">
        <v>12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9</v>
      </c>
      <c r="K1" s="4" t="s">
        <v>53</v>
      </c>
    </row>
    <row r="2" spans="1:11">
      <c r="A2" t="s">
        <v>54</v>
      </c>
      <c r="B2" s="1">
        <v>45985</v>
      </c>
      <c r="C2" t="s">
        <v>55</v>
      </c>
      <c r="D2" t="s">
        <v>18</v>
      </c>
      <c r="E2" t="s">
        <v>17</v>
      </c>
      <c r="F2" t="s">
        <v>23</v>
      </c>
      <c r="G2">
        <v>1</v>
      </c>
      <c r="H2" s="2">
        <v>121.36</v>
      </c>
      <c r="I2" s="3">
        <v>0</v>
      </c>
      <c r="J2" s="2">
        <v>121.36</v>
      </c>
      <c r="K2" t="s">
        <v>56</v>
      </c>
    </row>
    <row r="3" spans="1:11">
      <c r="A3" t="s">
        <v>57</v>
      </c>
      <c r="B3" s="1">
        <v>45937</v>
      </c>
      <c r="C3" t="s">
        <v>58</v>
      </c>
      <c r="D3" t="s">
        <v>22</v>
      </c>
      <c r="E3" t="s">
        <v>17</v>
      </c>
      <c r="F3" t="s">
        <v>23</v>
      </c>
      <c r="G3">
        <v>2</v>
      </c>
      <c r="H3" s="2">
        <v>111</v>
      </c>
      <c r="I3" s="3">
        <v>0</v>
      </c>
      <c r="J3" s="2">
        <v>222</v>
      </c>
      <c r="K3" t="s">
        <v>56</v>
      </c>
    </row>
    <row r="4" spans="1:11">
      <c r="A4" t="s">
        <v>59</v>
      </c>
      <c r="B4" s="1">
        <v>45966</v>
      </c>
      <c r="C4" t="s">
        <v>60</v>
      </c>
      <c r="D4" t="s">
        <v>22</v>
      </c>
      <c r="E4" t="s">
        <v>17</v>
      </c>
      <c r="F4" t="s">
        <v>19</v>
      </c>
      <c r="G4">
        <v>2</v>
      </c>
      <c r="H4" s="2">
        <v>85.82</v>
      </c>
      <c r="I4" s="3">
        <v>0.15</v>
      </c>
      <c r="J4" s="2">
        <v>145.88999999999999</v>
      </c>
      <c r="K4" t="s">
        <v>61</v>
      </c>
    </row>
    <row r="5" spans="1:11">
      <c r="A5" t="s">
        <v>62</v>
      </c>
      <c r="B5" s="1">
        <v>45959</v>
      </c>
      <c r="C5" t="s">
        <v>63</v>
      </c>
      <c r="D5" t="s">
        <v>26</v>
      </c>
      <c r="E5" t="s">
        <v>33</v>
      </c>
      <c r="F5" t="s">
        <v>34</v>
      </c>
      <c r="G5">
        <v>2</v>
      </c>
      <c r="H5" s="2">
        <v>24.71</v>
      </c>
      <c r="I5" s="3">
        <v>0</v>
      </c>
      <c r="J5" s="2">
        <v>49.42</v>
      </c>
      <c r="K5" t="s">
        <v>61</v>
      </c>
    </row>
    <row r="6" spans="1:11">
      <c r="A6" t="s">
        <v>64</v>
      </c>
      <c r="B6" s="1">
        <v>45737</v>
      </c>
      <c r="C6" t="s">
        <v>65</v>
      </c>
      <c r="D6" t="s">
        <v>18</v>
      </c>
      <c r="E6" t="s">
        <v>33</v>
      </c>
      <c r="F6" t="s">
        <v>31</v>
      </c>
      <c r="G6">
        <v>4</v>
      </c>
      <c r="H6" s="2">
        <v>71.12</v>
      </c>
      <c r="I6" s="3">
        <v>0</v>
      </c>
      <c r="J6" s="2">
        <v>284.48</v>
      </c>
      <c r="K6" t="s">
        <v>61</v>
      </c>
    </row>
    <row r="7" spans="1:11">
      <c r="A7" t="s">
        <v>66</v>
      </c>
      <c r="B7" s="1">
        <v>45834</v>
      </c>
      <c r="C7" t="s">
        <v>67</v>
      </c>
      <c r="D7" t="s">
        <v>18</v>
      </c>
      <c r="E7" t="s">
        <v>29</v>
      </c>
      <c r="F7" t="s">
        <v>68</v>
      </c>
      <c r="G7">
        <v>1</v>
      </c>
      <c r="H7" s="2">
        <v>38.9</v>
      </c>
      <c r="I7" s="3">
        <v>0.1</v>
      </c>
      <c r="J7" s="2">
        <v>35.01</v>
      </c>
      <c r="K7" t="s">
        <v>61</v>
      </c>
    </row>
    <row r="8" spans="1:11">
      <c r="A8" t="s">
        <v>69</v>
      </c>
      <c r="B8" s="1">
        <v>45698</v>
      </c>
      <c r="C8" t="s">
        <v>70</v>
      </c>
      <c r="D8" t="s">
        <v>22</v>
      </c>
      <c r="E8" t="s">
        <v>21</v>
      </c>
      <c r="F8" t="s">
        <v>71</v>
      </c>
      <c r="G8">
        <v>1</v>
      </c>
      <c r="H8" s="2">
        <v>72.959999999999994</v>
      </c>
      <c r="I8" s="3">
        <v>0.05</v>
      </c>
      <c r="J8" s="2">
        <v>69.31</v>
      </c>
      <c r="K8" t="s">
        <v>56</v>
      </c>
    </row>
    <row r="9" spans="1:11">
      <c r="A9" t="s">
        <v>72</v>
      </c>
      <c r="B9" s="1">
        <v>45693</v>
      </c>
      <c r="C9" t="s">
        <v>73</v>
      </c>
      <c r="D9" t="s">
        <v>18</v>
      </c>
      <c r="E9" t="s">
        <v>17</v>
      </c>
      <c r="F9" t="s">
        <v>19</v>
      </c>
      <c r="G9">
        <v>2</v>
      </c>
      <c r="H9" s="2">
        <v>87.3</v>
      </c>
      <c r="I9" s="3">
        <v>0</v>
      </c>
      <c r="J9" s="2">
        <v>174.6</v>
      </c>
      <c r="K9" t="s">
        <v>61</v>
      </c>
    </row>
    <row r="10" spans="1:11">
      <c r="A10" t="s">
        <v>74</v>
      </c>
      <c r="B10" s="1">
        <v>45800</v>
      </c>
      <c r="C10" t="s">
        <v>75</v>
      </c>
      <c r="D10" t="s">
        <v>22</v>
      </c>
      <c r="E10" t="s">
        <v>21</v>
      </c>
      <c r="F10" t="s">
        <v>40</v>
      </c>
      <c r="G10">
        <v>2</v>
      </c>
      <c r="H10" s="2">
        <v>47.55</v>
      </c>
      <c r="I10" s="3">
        <v>0.05</v>
      </c>
      <c r="J10" s="2">
        <v>90.34</v>
      </c>
      <c r="K10" t="s">
        <v>56</v>
      </c>
    </row>
    <row r="11" spans="1:11">
      <c r="A11" t="s">
        <v>76</v>
      </c>
      <c r="B11" s="1">
        <v>45794</v>
      </c>
      <c r="C11" t="s">
        <v>77</v>
      </c>
      <c r="D11" t="s">
        <v>22</v>
      </c>
      <c r="E11" t="s">
        <v>25</v>
      </c>
      <c r="F11" t="s">
        <v>78</v>
      </c>
      <c r="G11">
        <v>3</v>
      </c>
      <c r="H11" s="2">
        <v>41.49</v>
      </c>
      <c r="I11" s="3">
        <v>0.15</v>
      </c>
      <c r="J11" s="2">
        <v>105.8</v>
      </c>
      <c r="K11" t="s">
        <v>79</v>
      </c>
    </row>
    <row r="12" spans="1:11">
      <c r="A12" t="s">
        <v>80</v>
      </c>
      <c r="B12" s="1">
        <v>45894</v>
      </c>
      <c r="C12" t="s">
        <v>81</v>
      </c>
      <c r="D12" t="s">
        <v>26</v>
      </c>
      <c r="E12" t="s">
        <v>25</v>
      </c>
      <c r="F12" t="s">
        <v>38</v>
      </c>
      <c r="G12">
        <v>1</v>
      </c>
      <c r="H12" s="2">
        <v>137.49</v>
      </c>
      <c r="I12" s="3">
        <v>0.15</v>
      </c>
      <c r="J12" s="2">
        <v>116.87</v>
      </c>
      <c r="K12" t="s">
        <v>79</v>
      </c>
    </row>
    <row r="13" spans="1:11">
      <c r="A13" t="s">
        <v>82</v>
      </c>
      <c r="B13" s="1">
        <v>45775</v>
      </c>
      <c r="C13" t="s">
        <v>83</v>
      </c>
      <c r="D13" t="s">
        <v>26</v>
      </c>
      <c r="E13" t="s">
        <v>17</v>
      </c>
      <c r="F13" t="s">
        <v>19</v>
      </c>
      <c r="G13">
        <v>2</v>
      </c>
      <c r="H13" s="2">
        <v>77.61</v>
      </c>
      <c r="I13" s="3">
        <v>0</v>
      </c>
      <c r="J13" s="2">
        <v>155.22</v>
      </c>
      <c r="K13" t="s">
        <v>79</v>
      </c>
    </row>
    <row r="14" spans="1:11">
      <c r="A14" t="s">
        <v>84</v>
      </c>
      <c r="B14" s="1">
        <v>45993</v>
      </c>
      <c r="C14" t="s">
        <v>85</v>
      </c>
      <c r="D14" t="s">
        <v>26</v>
      </c>
      <c r="E14" t="s">
        <v>21</v>
      </c>
      <c r="F14" t="s">
        <v>40</v>
      </c>
      <c r="G14">
        <v>1</v>
      </c>
      <c r="H14" s="2">
        <v>56.44</v>
      </c>
      <c r="I14" s="3">
        <v>0.1</v>
      </c>
      <c r="J14" s="2">
        <v>50.8</v>
      </c>
      <c r="K14" t="s">
        <v>79</v>
      </c>
    </row>
    <row r="15" spans="1:11">
      <c r="A15" t="s">
        <v>86</v>
      </c>
      <c r="B15" s="1">
        <v>45784</v>
      </c>
      <c r="C15" t="s">
        <v>87</v>
      </c>
      <c r="D15" t="s">
        <v>30</v>
      </c>
      <c r="E15" t="s">
        <v>25</v>
      </c>
      <c r="F15" t="s">
        <v>78</v>
      </c>
      <c r="G15">
        <v>2</v>
      </c>
      <c r="H15" s="2">
        <v>36.53</v>
      </c>
      <c r="I15" s="3">
        <v>0.15</v>
      </c>
      <c r="J15" s="2">
        <v>62.1</v>
      </c>
      <c r="K15" t="s">
        <v>61</v>
      </c>
    </row>
    <row r="16" spans="1:11">
      <c r="A16" t="s">
        <v>88</v>
      </c>
      <c r="B16" s="1">
        <v>45770</v>
      </c>
      <c r="C16" t="s">
        <v>89</v>
      </c>
      <c r="D16" t="s">
        <v>22</v>
      </c>
      <c r="E16" t="s">
        <v>17</v>
      </c>
      <c r="F16" t="s">
        <v>27</v>
      </c>
      <c r="G16">
        <v>1</v>
      </c>
      <c r="H16" s="2">
        <v>51.92</v>
      </c>
      <c r="I16" s="3">
        <v>0</v>
      </c>
      <c r="J16" s="2">
        <v>51.92</v>
      </c>
      <c r="K16" t="s">
        <v>56</v>
      </c>
    </row>
    <row r="17" spans="1:11">
      <c r="A17" t="s">
        <v>90</v>
      </c>
      <c r="B17" s="1">
        <v>45739</v>
      </c>
      <c r="C17" t="s">
        <v>91</v>
      </c>
      <c r="D17" t="s">
        <v>26</v>
      </c>
      <c r="E17" t="s">
        <v>29</v>
      </c>
      <c r="F17" t="s">
        <v>92</v>
      </c>
      <c r="G17">
        <v>1</v>
      </c>
      <c r="H17" s="2">
        <v>47.9</v>
      </c>
      <c r="I17" s="3">
        <v>0.1</v>
      </c>
      <c r="J17" s="2">
        <v>43.11</v>
      </c>
      <c r="K17" t="s">
        <v>56</v>
      </c>
    </row>
    <row r="18" spans="1:11">
      <c r="A18" t="s">
        <v>93</v>
      </c>
      <c r="B18" s="1">
        <v>45663</v>
      </c>
      <c r="C18" t="s">
        <v>94</v>
      </c>
      <c r="D18" t="s">
        <v>26</v>
      </c>
      <c r="E18" t="s">
        <v>29</v>
      </c>
      <c r="F18" t="s">
        <v>92</v>
      </c>
      <c r="G18">
        <v>2</v>
      </c>
      <c r="H18" s="2">
        <v>59.12</v>
      </c>
      <c r="I18" s="3">
        <v>0.15</v>
      </c>
      <c r="J18" s="2">
        <v>100.5</v>
      </c>
      <c r="K18" t="s">
        <v>79</v>
      </c>
    </row>
    <row r="19" spans="1:11">
      <c r="A19" t="s">
        <v>95</v>
      </c>
      <c r="B19" s="1">
        <v>45808</v>
      </c>
      <c r="C19" t="s">
        <v>96</v>
      </c>
      <c r="D19" t="s">
        <v>22</v>
      </c>
      <c r="E19" t="s">
        <v>25</v>
      </c>
      <c r="F19" t="s">
        <v>38</v>
      </c>
      <c r="G19">
        <v>1</v>
      </c>
      <c r="H19" s="2">
        <v>101.28</v>
      </c>
      <c r="I19" s="3">
        <v>0.05</v>
      </c>
      <c r="J19" s="2">
        <v>96.22</v>
      </c>
      <c r="K19" t="s">
        <v>56</v>
      </c>
    </row>
    <row r="20" spans="1:11">
      <c r="A20" t="s">
        <v>97</v>
      </c>
      <c r="B20" s="1">
        <v>45712</v>
      </c>
      <c r="C20" t="s">
        <v>98</v>
      </c>
      <c r="D20" t="s">
        <v>22</v>
      </c>
      <c r="E20" t="s">
        <v>29</v>
      </c>
      <c r="F20" t="s">
        <v>92</v>
      </c>
      <c r="G20">
        <v>1</v>
      </c>
      <c r="H20" s="2">
        <v>58.35</v>
      </c>
      <c r="I20" s="3">
        <v>0.15</v>
      </c>
      <c r="J20" s="2">
        <v>49.6</v>
      </c>
      <c r="K20" t="s">
        <v>61</v>
      </c>
    </row>
    <row r="21" spans="1:11">
      <c r="A21" t="s">
        <v>99</v>
      </c>
      <c r="B21" s="1">
        <v>45740</v>
      </c>
      <c r="C21" t="s">
        <v>100</v>
      </c>
      <c r="D21" t="s">
        <v>30</v>
      </c>
      <c r="E21" t="s">
        <v>21</v>
      </c>
      <c r="F21" t="s">
        <v>71</v>
      </c>
      <c r="G21">
        <v>4</v>
      </c>
      <c r="H21" s="2">
        <v>79.650000000000006</v>
      </c>
      <c r="I21" s="3">
        <v>0</v>
      </c>
      <c r="J21" s="2">
        <v>318.60000000000002</v>
      </c>
      <c r="K21" t="s">
        <v>79</v>
      </c>
    </row>
    <row r="22" spans="1:11">
      <c r="A22" t="s">
        <v>101</v>
      </c>
      <c r="B22" s="1">
        <v>45715</v>
      </c>
      <c r="C22" t="s">
        <v>102</v>
      </c>
      <c r="D22" t="s">
        <v>18</v>
      </c>
      <c r="E22" t="s">
        <v>25</v>
      </c>
      <c r="F22" t="s">
        <v>36</v>
      </c>
      <c r="G22">
        <v>3</v>
      </c>
      <c r="H22" s="2">
        <v>100.08</v>
      </c>
      <c r="I22" s="3">
        <v>0.05</v>
      </c>
      <c r="J22" s="2">
        <v>285.23</v>
      </c>
      <c r="K22" t="s">
        <v>79</v>
      </c>
    </row>
    <row r="23" spans="1:11">
      <c r="A23" t="s">
        <v>103</v>
      </c>
      <c r="B23" s="1">
        <v>45948</v>
      </c>
      <c r="C23" t="s">
        <v>104</v>
      </c>
      <c r="D23" t="s">
        <v>22</v>
      </c>
      <c r="E23" t="s">
        <v>17</v>
      </c>
      <c r="F23" t="s">
        <v>23</v>
      </c>
      <c r="G23">
        <v>1</v>
      </c>
      <c r="H23" s="2">
        <v>130.34</v>
      </c>
      <c r="I23" s="3">
        <v>0</v>
      </c>
      <c r="J23" s="2">
        <v>130.34</v>
      </c>
      <c r="K23" t="s">
        <v>79</v>
      </c>
    </row>
    <row r="24" spans="1:11">
      <c r="A24" t="s">
        <v>105</v>
      </c>
      <c r="B24" s="1">
        <v>45995</v>
      </c>
      <c r="C24" t="s">
        <v>106</v>
      </c>
      <c r="D24" t="s">
        <v>22</v>
      </c>
      <c r="E24" t="s">
        <v>21</v>
      </c>
      <c r="F24" t="s">
        <v>40</v>
      </c>
      <c r="G24">
        <v>3</v>
      </c>
      <c r="H24" s="2">
        <v>44.32</v>
      </c>
      <c r="I24" s="3">
        <v>0.15</v>
      </c>
      <c r="J24" s="2">
        <v>113.02</v>
      </c>
      <c r="K24" t="s">
        <v>56</v>
      </c>
    </row>
    <row r="25" spans="1:11">
      <c r="A25" t="s">
        <v>107</v>
      </c>
      <c r="B25" s="1">
        <v>46011</v>
      </c>
      <c r="C25" t="s">
        <v>108</v>
      </c>
      <c r="D25" t="s">
        <v>30</v>
      </c>
      <c r="E25" t="s">
        <v>33</v>
      </c>
      <c r="F25" t="s">
        <v>31</v>
      </c>
      <c r="G25">
        <v>2</v>
      </c>
      <c r="H25" s="2">
        <v>72.64</v>
      </c>
      <c r="I25" s="3">
        <v>0.05</v>
      </c>
      <c r="J25" s="2">
        <v>138.02000000000001</v>
      </c>
      <c r="K25" t="s">
        <v>79</v>
      </c>
    </row>
    <row r="26" spans="1:11">
      <c r="A26" t="s">
        <v>109</v>
      </c>
      <c r="B26" s="1">
        <v>45784</v>
      </c>
      <c r="C26" t="s">
        <v>110</v>
      </c>
      <c r="D26" t="s">
        <v>22</v>
      </c>
      <c r="E26" t="s">
        <v>33</v>
      </c>
      <c r="F26" t="s">
        <v>31</v>
      </c>
      <c r="G26">
        <v>1</v>
      </c>
      <c r="H26" s="2">
        <v>63.41</v>
      </c>
      <c r="I26" s="3">
        <v>0.15</v>
      </c>
      <c r="J26" s="2">
        <v>53.9</v>
      </c>
      <c r="K26" t="s">
        <v>79</v>
      </c>
    </row>
    <row r="27" spans="1:11">
      <c r="A27" t="s">
        <v>111</v>
      </c>
      <c r="B27" s="1">
        <v>45694</v>
      </c>
      <c r="C27" t="s">
        <v>112</v>
      </c>
      <c r="D27" t="s">
        <v>18</v>
      </c>
      <c r="E27" t="s">
        <v>25</v>
      </c>
      <c r="F27" t="s">
        <v>78</v>
      </c>
      <c r="G27">
        <v>2</v>
      </c>
      <c r="H27" s="2">
        <v>36.1</v>
      </c>
      <c r="I27" s="3">
        <v>0</v>
      </c>
      <c r="J27" s="2">
        <v>72.2</v>
      </c>
      <c r="K27" t="s">
        <v>56</v>
      </c>
    </row>
    <row r="28" spans="1:11">
      <c r="A28" t="s">
        <v>113</v>
      </c>
      <c r="B28" s="1">
        <v>45779</v>
      </c>
      <c r="C28" t="s">
        <v>114</v>
      </c>
      <c r="D28" t="s">
        <v>30</v>
      </c>
      <c r="E28" t="s">
        <v>33</v>
      </c>
      <c r="F28" t="s">
        <v>34</v>
      </c>
      <c r="G28">
        <v>2</v>
      </c>
      <c r="H28" s="2">
        <v>26.7</v>
      </c>
      <c r="I28" s="3">
        <v>0</v>
      </c>
      <c r="J28" s="2">
        <v>53.4</v>
      </c>
      <c r="K28" t="s">
        <v>79</v>
      </c>
    </row>
    <row r="29" spans="1:11">
      <c r="A29" t="s">
        <v>115</v>
      </c>
      <c r="B29" s="1">
        <v>45900</v>
      </c>
      <c r="C29" t="s">
        <v>116</v>
      </c>
      <c r="D29" t="s">
        <v>30</v>
      </c>
      <c r="E29" t="s">
        <v>25</v>
      </c>
      <c r="F29" t="s">
        <v>38</v>
      </c>
      <c r="G29">
        <v>1</v>
      </c>
      <c r="H29" s="2">
        <v>104.96</v>
      </c>
      <c r="I29" s="3">
        <v>0.1</v>
      </c>
      <c r="J29" s="2">
        <v>94.46</v>
      </c>
      <c r="K29" t="s">
        <v>61</v>
      </c>
    </row>
    <row r="30" spans="1:11">
      <c r="A30" t="s">
        <v>117</v>
      </c>
      <c r="B30" s="1">
        <v>45897</v>
      </c>
      <c r="C30" t="s">
        <v>118</v>
      </c>
      <c r="D30" t="s">
        <v>30</v>
      </c>
      <c r="E30" t="s">
        <v>25</v>
      </c>
      <c r="F30" t="s">
        <v>78</v>
      </c>
      <c r="G30">
        <v>1</v>
      </c>
      <c r="H30" s="2">
        <v>41.56</v>
      </c>
      <c r="I30" s="3">
        <v>0</v>
      </c>
      <c r="J30" s="2">
        <v>41.56</v>
      </c>
      <c r="K30" t="s">
        <v>56</v>
      </c>
    </row>
    <row r="31" spans="1:11">
      <c r="A31" t="s">
        <v>119</v>
      </c>
      <c r="B31" s="1">
        <v>45831</v>
      </c>
      <c r="C31" t="s">
        <v>120</v>
      </c>
      <c r="D31" t="s">
        <v>30</v>
      </c>
      <c r="E31" t="s">
        <v>17</v>
      </c>
      <c r="F31" t="s">
        <v>23</v>
      </c>
      <c r="G31">
        <v>1</v>
      </c>
      <c r="H31" s="2">
        <v>117.75</v>
      </c>
      <c r="I31" s="3">
        <v>0.1</v>
      </c>
      <c r="J31" s="2">
        <v>105.98</v>
      </c>
      <c r="K31" t="s">
        <v>79</v>
      </c>
    </row>
    <row r="32" spans="1:11">
      <c r="A32" t="s">
        <v>121</v>
      </c>
      <c r="B32" s="1">
        <v>45800</v>
      </c>
      <c r="C32" t="s">
        <v>122</v>
      </c>
      <c r="D32" t="s">
        <v>18</v>
      </c>
      <c r="E32" t="s">
        <v>21</v>
      </c>
      <c r="F32" t="s">
        <v>40</v>
      </c>
      <c r="G32">
        <v>1</v>
      </c>
      <c r="H32" s="2">
        <v>56.58</v>
      </c>
      <c r="I32" s="3">
        <v>0.1</v>
      </c>
      <c r="J32" s="2">
        <v>50.92</v>
      </c>
      <c r="K32" t="s">
        <v>79</v>
      </c>
    </row>
    <row r="33" spans="1:11">
      <c r="A33" t="s">
        <v>123</v>
      </c>
      <c r="B33" s="1">
        <v>45991</v>
      </c>
      <c r="C33" t="s">
        <v>124</v>
      </c>
      <c r="D33" t="s">
        <v>30</v>
      </c>
      <c r="E33" t="s">
        <v>21</v>
      </c>
      <c r="F33" t="s">
        <v>71</v>
      </c>
      <c r="G33">
        <v>3</v>
      </c>
      <c r="H33" s="2">
        <v>80.709999999999994</v>
      </c>
      <c r="I33" s="3">
        <v>0</v>
      </c>
      <c r="J33" s="2">
        <v>242.13</v>
      </c>
      <c r="K33" t="s">
        <v>61</v>
      </c>
    </row>
    <row r="34" spans="1:11">
      <c r="A34" t="s">
        <v>125</v>
      </c>
      <c r="B34" s="1">
        <v>45904</v>
      </c>
      <c r="C34" t="s">
        <v>126</v>
      </c>
      <c r="D34" t="s">
        <v>18</v>
      </c>
      <c r="E34" t="s">
        <v>33</v>
      </c>
      <c r="F34" t="s">
        <v>31</v>
      </c>
      <c r="G34">
        <v>3</v>
      </c>
      <c r="H34" s="2">
        <v>84.94</v>
      </c>
      <c r="I34" s="3">
        <v>0</v>
      </c>
      <c r="J34" s="2">
        <v>254.82</v>
      </c>
      <c r="K34" t="s">
        <v>61</v>
      </c>
    </row>
    <row r="35" spans="1:11">
      <c r="A35" t="s">
        <v>127</v>
      </c>
      <c r="B35" s="1">
        <v>45793</v>
      </c>
      <c r="C35" t="s">
        <v>128</v>
      </c>
      <c r="D35" t="s">
        <v>22</v>
      </c>
      <c r="E35" t="s">
        <v>21</v>
      </c>
      <c r="F35" t="s">
        <v>40</v>
      </c>
      <c r="G35">
        <v>1</v>
      </c>
      <c r="H35" s="2">
        <v>52.91</v>
      </c>
      <c r="I35" s="3">
        <v>0.15</v>
      </c>
      <c r="J35" s="2">
        <v>44.97</v>
      </c>
      <c r="K35" t="s">
        <v>79</v>
      </c>
    </row>
    <row r="36" spans="1:11">
      <c r="A36" t="s">
        <v>129</v>
      </c>
      <c r="B36" s="1">
        <v>45809</v>
      </c>
      <c r="C36" t="s">
        <v>118</v>
      </c>
      <c r="D36" t="s">
        <v>26</v>
      </c>
      <c r="E36" t="s">
        <v>33</v>
      </c>
      <c r="F36" t="s">
        <v>31</v>
      </c>
      <c r="G36">
        <v>4</v>
      </c>
      <c r="H36" s="2">
        <v>77.040000000000006</v>
      </c>
      <c r="I36" s="3">
        <v>0.15</v>
      </c>
      <c r="J36" s="2">
        <v>261.94</v>
      </c>
      <c r="K36" t="s">
        <v>79</v>
      </c>
    </row>
    <row r="37" spans="1:11">
      <c r="A37" t="s">
        <v>130</v>
      </c>
      <c r="B37" s="1">
        <v>45683</v>
      </c>
      <c r="C37" t="s">
        <v>131</v>
      </c>
      <c r="D37" t="s">
        <v>18</v>
      </c>
      <c r="E37" t="s">
        <v>29</v>
      </c>
      <c r="F37" t="s">
        <v>68</v>
      </c>
      <c r="G37">
        <v>1</v>
      </c>
      <c r="H37" s="2">
        <v>51.9</v>
      </c>
      <c r="I37" s="3">
        <v>0.15</v>
      </c>
      <c r="J37" s="2">
        <v>44.11</v>
      </c>
      <c r="K37" t="s">
        <v>56</v>
      </c>
    </row>
    <row r="38" spans="1:11">
      <c r="A38" t="s">
        <v>132</v>
      </c>
      <c r="B38" s="1">
        <v>45699</v>
      </c>
      <c r="C38" t="s">
        <v>133</v>
      </c>
      <c r="D38" t="s">
        <v>18</v>
      </c>
      <c r="E38" t="s">
        <v>17</v>
      </c>
      <c r="F38" t="s">
        <v>27</v>
      </c>
      <c r="G38">
        <v>1</v>
      </c>
      <c r="H38" s="2">
        <v>51.47</v>
      </c>
      <c r="I38" s="3">
        <v>0</v>
      </c>
      <c r="J38" s="2">
        <v>51.47</v>
      </c>
      <c r="K38" t="s">
        <v>56</v>
      </c>
    </row>
    <row r="39" spans="1:11">
      <c r="A39" t="s">
        <v>134</v>
      </c>
      <c r="B39" s="1">
        <v>45784</v>
      </c>
      <c r="C39" t="s">
        <v>135</v>
      </c>
      <c r="D39" t="s">
        <v>26</v>
      </c>
      <c r="E39" t="s">
        <v>29</v>
      </c>
      <c r="F39" t="s">
        <v>68</v>
      </c>
      <c r="G39">
        <v>2</v>
      </c>
      <c r="H39" s="2">
        <v>47.45</v>
      </c>
      <c r="I39" s="3">
        <v>0.1</v>
      </c>
      <c r="J39" s="2">
        <v>85.41</v>
      </c>
      <c r="K39" t="s">
        <v>61</v>
      </c>
    </row>
    <row r="40" spans="1:11">
      <c r="A40" t="s">
        <v>136</v>
      </c>
      <c r="B40" s="1">
        <v>45762</v>
      </c>
      <c r="C40" t="s">
        <v>137</v>
      </c>
      <c r="D40" t="s">
        <v>26</v>
      </c>
      <c r="E40" t="s">
        <v>29</v>
      </c>
      <c r="F40" t="s">
        <v>92</v>
      </c>
      <c r="G40">
        <v>2</v>
      </c>
      <c r="H40" s="2">
        <v>51.08</v>
      </c>
      <c r="I40" s="3">
        <v>0.1</v>
      </c>
      <c r="J40" s="2">
        <v>91.94</v>
      </c>
      <c r="K40" t="s">
        <v>61</v>
      </c>
    </row>
    <row r="41" spans="1:11">
      <c r="A41" t="s">
        <v>138</v>
      </c>
      <c r="B41" s="1">
        <v>45819</v>
      </c>
      <c r="C41" t="s">
        <v>139</v>
      </c>
      <c r="D41" t="s">
        <v>18</v>
      </c>
      <c r="E41" t="s">
        <v>17</v>
      </c>
      <c r="F41" t="s">
        <v>23</v>
      </c>
      <c r="G41">
        <v>1</v>
      </c>
      <c r="H41" s="2">
        <v>136.09</v>
      </c>
      <c r="I41" s="3">
        <v>0.15</v>
      </c>
      <c r="J41" s="2">
        <v>115.68</v>
      </c>
      <c r="K41" t="s">
        <v>56</v>
      </c>
    </row>
    <row r="42" spans="1:11">
      <c r="A42" t="s">
        <v>140</v>
      </c>
      <c r="B42" s="1">
        <v>45767</v>
      </c>
      <c r="C42" t="s">
        <v>141</v>
      </c>
      <c r="D42" t="s">
        <v>26</v>
      </c>
      <c r="E42" t="s">
        <v>21</v>
      </c>
      <c r="F42" t="s">
        <v>71</v>
      </c>
      <c r="G42">
        <v>1</v>
      </c>
      <c r="H42" s="2">
        <v>79.900000000000006</v>
      </c>
      <c r="I42" s="3">
        <v>0</v>
      </c>
      <c r="J42" s="2">
        <v>79.900000000000006</v>
      </c>
      <c r="K42" t="s">
        <v>61</v>
      </c>
    </row>
    <row r="43" spans="1:11">
      <c r="A43" t="s">
        <v>142</v>
      </c>
      <c r="B43" s="1">
        <v>45738</v>
      </c>
      <c r="C43" t="s">
        <v>143</v>
      </c>
      <c r="D43" t="s">
        <v>18</v>
      </c>
      <c r="E43" t="s">
        <v>21</v>
      </c>
      <c r="F43" t="s">
        <v>40</v>
      </c>
      <c r="G43">
        <v>3</v>
      </c>
      <c r="H43" s="2">
        <v>53.03</v>
      </c>
      <c r="I43" s="3">
        <v>0.15</v>
      </c>
      <c r="J43" s="2">
        <v>135.22999999999999</v>
      </c>
      <c r="K43" t="s">
        <v>56</v>
      </c>
    </row>
    <row r="44" spans="1:11">
      <c r="A44" t="s">
        <v>144</v>
      </c>
      <c r="B44" s="1">
        <v>45941</v>
      </c>
      <c r="C44" t="s">
        <v>145</v>
      </c>
      <c r="D44" t="s">
        <v>18</v>
      </c>
      <c r="E44" t="s">
        <v>33</v>
      </c>
      <c r="F44" t="s">
        <v>34</v>
      </c>
      <c r="G44">
        <v>3</v>
      </c>
      <c r="H44" s="2">
        <v>25.64</v>
      </c>
      <c r="I44" s="3">
        <v>0</v>
      </c>
      <c r="J44" s="2">
        <v>76.92</v>
      </c>
      <c r="K44" t="s">
        <v>79</v>
      </c>
    </row>
    <row r="45" spans="1:11">
      <c r="A45" t="s">
        <v>146</v>
      </c>
      <c r="B45" s="1">
        <v>45941</v>
      </c>
      <c r="C45" t="s">
        <v>147</v>
      </c>
      <c r="D45" t="s">
        <v>26</v>
      </c>
      <c r="E45" t="s">
        <v>17</v>
      </c>
      <c r="F45" t="s">
        <v>27</v>
      </c>
      <c r="G45">
        <v>1</v>
      </c>
      <c r="H45" s="2">
        <v>61.93</v>
      </c>
      <c r="I45" s="3">
        <v>0.05</v>
      </c>
      <c r="J45" s="2">
        <v>58.83</v>
      </c>
      <c r="K45" t="s">
        <v>56</v>
      </c>
    </row>
    <row r="46" spans="1:11">
      <c r="A46" t="s">
        <v>148</v>
      </c>
      <c r="B46" s="1">
        <v>45908</v>
      </c>
      <c r="C46" t="s">
        <v>106</v>
      </c>
      <c r="D46" t="s">
        <v>26</v>
      </c>
      <c r="E46" t="s">
        <v>33</v>
      </c>
      <c r="F46" t="s">
        <v>34</v>
      </c>
      <c r="G46">
        <v>3</v>
      </c>
      <c r="H46" s="2">
        <v>32.75</v>
      </c>
      <c r="I46" s="3">
        <v>0</v>
      </c>
      <c r="J46" s="2">
        <v>98.25</v>
      </c>
      <c r="K46" t="s">
        <v>79</v>
      </c>
    </row>
    <row r="47" spans="1:11">
      <c r="A47" t="s">
        <v>149</v>
      </c>
      <c r="B47" s="1">
        <v>45659</v>
      </c>
      <c r="C47" t="s">
        <v>150</v>
      </c>
      <c r="D47" t="s">
        <v>30</v>
      </c>
      <c r="E47" t="s">
        <v>25</v>
      </c>
      <c r="F47" t="s">
        <v>36</v>
      </c>
      <c r="G47">
        <v>2</v>
      </c>
      <c r="H47" s="2">
        <v>94.36</v>
      </c>
      <c r="I47" s="3">
        <v>0.05</v>
      </c>
      <c r="J47" s="2">
        <v>179.28</v>
      </c>
      <c r="K47" t="s">
        <v>56</v>
      </c>
    </row>
    <row r="48" spans="1:11">
      <c r="A48" t="s">
        <v>151</v>
      </c>
      <c r="B48" s="1">
        <v>46019</v>
      </c>
      <c r="C48" t="s">
        <v>152</v>
      </c>
      <c r="D48" t="s">
        <v>18</v>
      </c>
      <c r="E48" t="s">
        <v>25</v>
      </c>
      <c r="F48" t="s">
        <v>38</v>
      </c>
      <c r="G48">
        <v>2</v>
      </c>
      <c r="H48" s="2">
        <v>105.54</v>
      </c>
      <c r="I48" s="3">
        <v>0</v>
      </c>
      <c r="J48" s="2">
        <v>211.08</v>
      </c>
      <c r="K48" t="s">
        <v>61</v>
      </c>
    </row>
    <row r="49" spans="1:11">
      <c r="A49" t="s">
        <v>153</v>
      </c>
      <c r="B49" s="1">
        <v>45956</v>
      </c>
      <c r="C49" t="s">
        <v>154</v>
      </c>
      <c r="D49" t="s">
        <v>18</v>
      </c>
      <c r="E49" t="s">
        <v>21</v>
      </c>
      <c r="F49" t="s">
        <v>71</v>
      </c>
      <c r="G49">
        <v>1</v>
      </c>
      <c r="H49" s="2">
        <v>61.55</v>
      </c>
      <c r="I49" s="3">
        <v>0.05</v>
      </c>
      <c r="J49" s="2">
        <v>58.47</v>
      </c>
      <c r="K49" t="s">
        <v>61</v>
      </c>
    </row>
    <row r="50" spans="1:11">
      <c r="A50" t="s">
        <v>155</v>
      </c>
      <c r="B50" s="1">
        <v>45765</v>
      </c>
      <c r="C50" t="s">
        <v>156</v>
      </c>
      <c r="D50" t="s">
        <v>22</v>
      </c>
      <c r="E50" t="s">
        <v>29</v>
      </c>
      <c r="F50" t="s">
        <v>92</v>
      </c>
      <c r="G50">
        <v>1</v>
      </c>
      <c r="H50" s="2">
        <v>48.62</v>
      </c>
      <c r="I50" s="3">
        <v>0.15</v>
      </c>
      <c r="J50" s="2">
        <v>41.33</v>
      </c>
      <c r="K50" t="s">
        <v>79</v>
      </c>
    </row>
    <row r="51" spans="1:11">
      <c r="A51" t="s">
        <v>157</v>
      </c>
      <c r="B51" s="1">
        <v>45741</v>
      </c>
      <c r="C51" t="s">
        <v>158</v>
      </c>
      <c r="D51" t="s">
        <v>22</v>
      </c>
      <c r="E51" t="s">
        <v>17</v>
      </c>
      <c r="F51" t="s">
        <v>27</v>
      </c>
      <c r="G51">
        <v>3</v>
      </c>
      <c r="H51" s="2">
        <v>50.63</v>
      </c>
      <c r="I51" s="3">
        <v>0.05</v>
      </c>
      <c r="J51" s="2">
        <v>144.30000000000001</v>
      </c>
      <c r="K51" t="s">
        <v>61</v>
      </c>
    </row>
    <row r="52" spans="1:11">
      <c r="A52" t="s">
        <v>159</v>
      </c>
      <c r="B52" s="1">
        <v>45739</v>
      </c>
      <c r="C52" t="s">
        <v>160</v>
      </c>
      <c r="D52" t="s">
        <v>22</v>
      </c>
      <c r="E52" t="s">
        <v>25</v>
      </c>
      <c r="F52" t="s">
        <v>78</v>
      </c>
      <c r="G52">
        <v>1</v>
      </c>
      <c r="H52" s="2">
        <v>44.37</v>
      </c>
      <c r="I52" s="3">
        <v>0.1</v>
      </c>
      <c r="J52" s="2">
        <v>39.93</v>
      </c>
      <c r="K52" t="s">
        <v>61</v>
      </c>
    </row>
    <row r="53" spans="1:11">
      <c r="A53" t="s">
        <v>161</v>
      </c>
      <c r="B53" s="1">
        <v>45837</v>
      </c>
      <c r="C53" t="s">
        <v>162</v>
      </c>
      <c r="D53" t="s">
        <v>22</v>
      </c>
      <c r="E53" t="s">
        <v>33</v>
      </c>
      <c r="F53" t="s">
        <v>34</v>
      </c>
      <c r="G53">
        <v>2</v>
      </c>
      <c r="H53" s="2">
        <v>32.99</v>
      </c>
      <c r="I53" s="3">
        <v>0</v>
      </c>
      <c r="J53" s="2">
        <v>65.98</v>
      </c>
      <c r="K53" t="s">
        <v>61</v>
      </c>
    </row>
    <row r="54" spans="1:11">
      <c r="A54" t="s">
        <v>163</v>
      </c>
      <c r="B54" s="1">
        <v>45826</v>
      </c>
      <c r="C54" t="s">
        <v>164</v>
      </c>
      <c r="D54" t="s">
        <v>30</v>
      </c>
      <c r="E54" t="s">
        <v>33</v>
      </c>
      <c r="F54" t="s">
        <v>34</v>
      </c>
      <c r="G54">
        <v>3</v>
      </c>
      <c r="H54" s="2">
        <v>33.9</v>
      </c>
      <c r="I54" s="3">
        <v>0.05</v>
      </c>
      <c r="J54" s="2">
        <v>96.61</v>
      </c>
      <c r="K54" t="s">
        <v>56</v>
      </c>
    </row>
    <row r="55" spans="1:11">
      <c r="A55" t="s">
        <v>165</v>
      </c>
      <c r="B55" s="1">
        <v>45932</v>
      </c>
      <c r="C55" t="s">
        <v>166</v>
      </c>
      <c r="D55" t="s">
        <v>26</v>
      </c>
      <c r="E55" t="s">
        <v>25</v>
      </c>
      <c r="F55" t="s">
        <v>36</v>
      </c>
      <c r="G55">
        <v>3</v>
      </c>
      <c r="H55" s="2">
        <v>79.040000000000006</v>
      </c>
      <c r="I55" s="3">
        <v>0.05</v>
      </c>
      <c r="J55" s="2">
        <v>225.26</v>
      </c>
      <c r="K55" t="s">
        <v>79</v>
      </c>
    </row>
    <row r="56" spans="1:11">
      <c r="A56" t="s">
        <v>167</v>
      </c>
      <c r="B56" s="1">
        <v>45713</v>
      </c>
      <c r="C56" t="s">
        <v>168</v>
      </c>
      <c r="D56" t="s">
        <v>18</v>
      </c>
      <c r="E56" t="s">
        <v>29</v>
      </c>
      <c r="F56" t="s">
        <v>68</v>
      </c>
      <c r="G56">
        <v>1</v>
      </c>
      <c r="H56" s="2">
        <v>49.07</v>
      </c>
      <c r="I56" s="3">
        <v>0.05</v>
      </c>
      <c r="J56" s="2">
        <v>46.62</v>
      </c>
      <c r="K56" t="s">
        <v>61</v>
      </c>
    </row>
    <row r="57" spans="1:11">
      <c r="A57" t="s">
        <v>169</v>
      </c>
      <c r="B57" s="1">
        <v>45953</v>
      </c>
      <c r="C57" t="s">
        <v>170</v>
      </c>
      <c r="D57" t="s">
        <v>22</v>
      </c>
      <c r="E57" t="s">
        <v>33</v>
      </c>
      <c r="F57" t="s">
        <v>31</v>
      </c>
      <c r="G57">
        <v>1</v>
      </c>
      <c r="H57" s="2">
        <v>80.209999999999994</v>
      </c>
      <c r="I57" s="3">
        <v>0</v>
      </c>
      <c r="J57" s="2">
        <v>80.209999999999994</v>
      </c>
      <c r="K57" t="s">
        <v>61</v>
      </c>
    </row>
    <row r="58" spans="1:11">
      <c r="A58" t="s">
        <v>171</v>
      </c>
      <c r="B58" s="1">
        <v>45878</v>
      </c>
      <c r="C58" t="s">
        <v>172</v>
      </c>
      <c r="D58" t="s">
        <v>18</v>
      </c>
      <c r="E58" t="s">
        <v>17</v>
      </c>
      <c r="F58" t="s">
        <v>23</v>
      </c>
      <c r="G58">
        <v>3</v>
      </c>
      <c r="H58" s="2">
        <v>148.85</v>
      </c>
      <c r="I58" s="3">
        <v>0.15</v>
      </c>
      <c r="J58" s="2">
        <v>379.57</v>
      </c>
      <c r="K58" t="s">
        <v>56</v>
      </c>
    </row>
    <row r="59" spans="1:11">
      <c r="A59" t="s">
        <v>173</v>
      </c>
      <c r="B59" s="1">
        <v>45811</v>
      </c>
      <c r="C59" t="s">
        <v>174</v>
      </c>
      <c r="D59" t="s">
        <v>22</v>
      </c>
      <c r="E59" t="s">
        <v>21</v>
      </c>
      <c r="F59" t="s">
        <v>71</v>
      </c>
      <c r="G59">
        <v>1</v>
      </c>
      <c r="H59" s="2">
        <v>67.95</v>
      </c>
      <c r="I59" s="3">
        <v>0.1</v>
      </c>
      <c r="J59" s="2">
        <v>61.16</v>
      </c>
      <c r="K59" t="s">
        <v>79</v>
      </c>
    </row>
    <row r="60" spans="1:11">
      <c r="A60" t="s">
        <v>175</v>
      </c>
      <c r="B60" s="1">
        <v>45873</v>
      </c>
      <c r="C60" t="s">
        <v>176</v>
      </c>
      <c r="D60" t="s">
        <v>26</v>
      </c>
      <c r="E60" t="s">
        <v>29</v>
      </c>
      <c r="F60" t="s">
        <v>92</v>
      </c>
      <c r="G60">
        <v>3</v>
      </c>
      <c r="H60" s="2">
        <v>59.04</v>
      </c>
      <c r="I60" s="3">
        <v>0</v>
      </c>
      <c r="J60" s="2">
        <v>177.12</v>
      </c>
      <c r="K60" t="s">
        <v>61</v>
      </c>
    </row>
    <row r="61" spans="1:11">
      <c r="A61" t="s">
        <v>177</v>
      </c>
      <c r="B61" s="1">
        <v>45938</v>
      </c>
      <c r="C61" t="s">
        <v>178</v>
      </c>
      <c r="D61" t="s">
        <v>30</v>
      </c>
      <c r="E61" t="s">
        <v>17</v>
      </c>
      <c r="F61" t="s">
        <v>19</v>
      </c>
      <c r="G61">
        <v>1</v>
      </c>
      <c r="H61" s="2">
        <v>72.63</v>
      </c>
      <c r="I61" s="3">
        <v>0.15</v>
      </c>
      <c r="J61" s="2">
        <v>61.74</v>
      </c>
      <c r="K61" t="s">
        <v>61</v>
      </c>
    </row>
    <row r="62" spans="1:11">
      <c r="A62" t="s">
        <v>179</v>
      </c>
      <c r="B62" s="1">
        <v>45884</v>
      </c>
      <c r="C62" t="s">
        <v>180</v>
      </c>
      <c r="D62" t="s">
        <v>26</v>
      </c>
      <c r="E62" t="s">
        <v>29</v>
      </c>
      <c r="F62" t="s">
        <v>92</v>
      </c>
      <c r="G62">
        <v>1</v>
      </c>
      <c r="H62" s="2">
        <v>55.34</v>
      </c>
      <c r="I62" s="3">
        <v>0</v>
      </c>
      <c r="J62" s="2">
        <v>55.34</v>
      </c>
      <c r="K62" t="s">
        <v>56</v>
      </c>
    </row>
    <row r="63" spans="1:11">
      <c r="A63" t="s">
        <v>181</v>
      </c>
      <c r="B63" s="1">
        <v>45997</v>
      </c>
      <c r="C63" t="s">
        <v>182</v>
      </c>
      <c r="D63" t="s">
        <v>22</v>
      </c>
      <c r="E63" t="s">
        <v>29</v>
      </c>
      <c r="F63" t="s">
        <v>92</v>
      </c>
      <c r="G63">
        <v>2</v>
      </c>
      <c r="H63" s="2">
        <v>48.44</v>
      </c>
      <c r="I63" s="3">
        <v>0</v>
      </c>
      <c r="J63" s="2">
        <v>96.88</v>
      </c>
      <c r="K63" t="s">
        <v>79</v>
      </c>
    </row>
    <row r="64" spans="1:11">
      <c r="A64" t="s">
        <v>183</v>
      </c>
      <c r="B64" s="1">
        <v>45733</v>
      </c>
      <c r="C64" t="s">
        <v>184</v>
      </c>
      <c r="D64" t="s">
        <v>30</v>
      </c>
      <c r="E64" t="s">
        <v>17</v>
      </c>
      <c r="F64" t="s">
        <v>19</v>
      </c>
      <c r="G64">
        <v>1</v>
      </c>
      <c r="H64" s="2">
        <v>92.8</v>
      </c>
      <c r="I64" s="3">
        <v>0.15</v>
      </c>
      <c r="J64" s="2">
        <v>78.88</v>
      </c>
      <c r="K64" t="s">
        <v>61</v>
      </c>
    </row>
    <row r="65" spans="1:11">
      <c r="A65" t="s">
        <v>185</v>
      </c>
      <c r="B65" s="1">
        <v>45980</v>
      </c>
      <c r="C65" t="s">
        <v>186</v>
      </c>
      <c r="D65" t="s">
        <v>22</v>
      </c>
      <c r="E65" t="s">
        <v>29</v>
      </c>
      <c r="F65" t="s">
        <v>68</v>
      </c>
      <c r="G65">
        <v>1</v>
      </c>
      <c r="H65" s="2">
        <v>48.59</v>
      </c>
      <c r="I65" s="3">
        <v>0.1</v>
      </c>
      <c r="J65" s="2">
        <v>43.73</v>
      </c>
      <c r="K65" t="s">
        <v>79</v>
      </c>
    </row>
    <row r="66" spans="1:11">
      <c r="A66" t="s">
        <v>187</v>
      </c>
      <c r="B66" s="1">
        <v>45993</v>
      </c>
      <c r="C66" t="s">
        <v>188</v>
      </c>
      <c r="D66" t="s">
        <v>22</v>
      </c>
      <c r="E66" t="s">
        <v>25</v>
      </c>
      <c r="F66" t="s">
        <v>78</v>
      </c>
      <c r="G66">
        <v>1</v>
      </c>
      <c r="H66" s="2">
        <v>42.81</v>
      </c>
      <c r="I66" s="3">
        <v>0</v>
      </c>
      <c r="J66" s="2">
        <v>42.81</v>
      </c>
      <c r="K66" t="s">
        <v>79</v>
      </c>
    </row>
    <row r="67" spans="1:11">
      <c r="A67" t="s">
        <v>189</v>
      </c>
      <c r="B67" s="1">
        <v>46014</v>
      </c>
      <c r="C67" t="s">
        <v>190</v>
      </c>
      <c r="D67" t="s">
        <v>22</v>
      </c>
      <c r="E67" t="s">
        <v>21</v>
      </c>
      <c r="F67" t="s">
        <v>71</v>
      </c>
      <c r="G67">
        <v>1</v>
      </c>
      <c r="H67" s="2">
        <v>71.34</v>
      </c>
      <c r="I67" s="3">
        <v>0</v>
      </c>
      <c r="J67" s="2">
        <v>71.34</v>
      </c>
      <c r="K67" t="s">
        <v>61</v>
      </c>
    </row>
    <row r="68" spans="1:11">
      <c r="A68" t="s">
        <v>191</v>
      </c>
      <c r="B68" s="1">
        <v>45999</v>
      </c>
      <c r="C68" t="s">
        <v>192</v>
      </c>
      <c r="D68" t="s">
        <v>30</v>
      </c>
      <c r="E68" t="s">
        <v>21</v>
      </c>
      <c r="F68" t="s">
        <v>71</v>
      </c>
      <c r="G68">
        <v>4</v>
      </c>
      <c r="H68" s="2">
        <v>72.209999999999994</v>
      </c>
      <c r="I68" s="3">
        <v>0.1</v>
      </c>
      <c r="J68" s="2">
        <v>259.95999999999998</v>
      </c>
      <c r="K68" t="s">
        <v>56</v>
      </c>
    </row>
    <row r="69" spans="1:11">
      <c r="A69" t="s">
        <v>193</v>
      </c>
      <c r="B69" s="1">
        <v>45886</v>
      </c>
      <c r="C69" t="s">
        <v>194</v>
      </c>
      <c r="D69" t="s">
        <v>26</v>
      </c>
      <c r="E69" t="s">
        <v>17</v>
      </c>
      <c r="F69" t="s">
        <v>27</v>
      </c>
      <c r="G69">
        <v>2</v>
      </c>
      <c r="H69" s="2">
        <v>59.39</v>
      </c>
      <c r="I69" s="3">
        <v>0.05</v>
      </c>
      <c r="J69" s="2">
        <v>112.84</v>
      </c>
      <c r="K69" t="s">
        <v>56</v>
      </c>
    </row>
    <row r="70" spans="1:11">
      <c r="A70" t="s">
        <v>195</v>
      </c>
      <c r="B70" s="1">
        <v>45906</v>
      </c>
      <c r="C70" t="s">
        <v>196</v>
      </c>
      <c r="D70" t="s">
        <v>26</v>
      </c>
      <c r="E70" t="s">
        <v>29</v>
      </c>
      <c r="F70" t="s">
        <v>92</v>
      </c>
      <c r="G70">
        <v>1</v>
      </c>
      <c r="H70" s="2">
        <v>54.73</v>
      </c>
      <c r="I70" s="3">
        <v>0.05</v>
      </c>
      <c r="J70" s="2">
        <v>51.99</v>
      </c>
      <c r="K70" t="s">
        <v>61</v>
      </c>
    </row>
    <row r="71" spans="1:11">
      <c r="A71" t="s">
        <v>197</v>
      </c>
      <c r="B71" s="1">
        <v>45821</v>
      </c>
      <c r="C71" t="s">
        <v>198</v>
      </c>
      <c r="D71" t="s">
        <v>22</v>
      </c>
      <c r="E71" t="s">
        <v>21</v>
      </c>
      <c r="F71" t="s">
        <v>71</v>
      </c>
      <c r="G71">
        <v>1</v>
      </c>
      <c r="H71" s="2">
        <v>62.08</v>
      </c>
      <c r="I71" s="3">
        <v>0.1</v>
      </c>
      <c r="J71" s="2">
        <v>55.87</v>
      </c>
      <c r="K71" t="s">
        <v>79</v>
      </c>
    </row>
    <row r="72" spans="1:11">
      <c r="A72" t="s">
        <v>199</v>
      </c>
      <c r="B72" s="1">
        <v>45870</v>
      </c>
      <c r="C72" t="s">
        <v>200</v>
      </c>
      <c r="D72" t="s">
        <v>30</v>
      </c>
      <c r="E72" t="s">
        <v>25</v>
      </c>
      <c r="F72" t="s">
        <v>38</v>
      </c>
      <c r="G72">
        <v>1</v>
      </c>
      <c r="H72" s="2">
        <v>119.45</v>
      </c>
      <c r="I72" s="3">
        <v>0</v>
      </c>
      <c r="J72" s="2">
        <v>119.45</v>
      </c>
      <c r="K72" t="s">
        <v>61</v>
      </c>
    </row>
    <row r="73" spans="1:11">
      <c r="A73" t="s">
        <v>201</v>
      </c>
      <c r="B73" s="1">
        <v>45957</v>
      </c>
      <c r="C73" t="s">
        <v>65</v>
      </c>
      <c r="D73" t="s">
        <v>30</v>
      </c>
      <c r="E73" t="s">
        <v>25</v>
      </c>
      <c r="F73" t="s">
        <v>78</v>
      </c>
      <c r="G73">
        <v>1</v>
      </c>
      <c r="H73" s="2">
        <v>44.48</v>
      </c>
      <c r="I73" s="3">
        <v>0.15</v>
      </c>
      <c r="J73" s="2">
        <v>37.81</v>
      </c>
      <c r="K73" t="s">
        <v>79</v>
      </c>
    </row>
    <row r="74" spans="1:11">
      <c r="A74" t="s">
        <v>202</v>
      </c>
      <c r="B74" s="1">
        <v>45838</v>
      </c>
      <c r="C74" t="s">
        <v>203</v>
      </c>
      <c r="D74" t="s">
        <v>22</v>
      </c>
      <c r="E74" t="s">
        <v>33</v>
      </c>
      <c r="F74" t="s">
        <v>34</v>
      </c>
      <c r="G74">
        <v>2</v>
      </c>
      <c r="H74" s="2">
        <v>32.82</v>
      </c>
      <c r="I74" s="3">
        <v>0.1</v>
      </c>
      <c r="J74" s="2">
        <v>59.08</v>
      </c>
      <c r="K74" t="s">
        <v>61</v>
      </c>
    </row>
    <row r="75" spans="1:11">
      <c r="A75" t="s">
        <v>204</v>
      </c>
      <c r="B75" s="1">
        <v>45770</v>
      </c>
      <c r="C75" t="s">
        <v>205</v>
      </c>
      <c r="D75" t="s">
        <v>22</v>
      </c>
      <c r="E75" t="s">
        <v>33</v>
      </c>
      <c r="F75" t="s">
        <v>34</v>
      </c>
      <c r="G75">
        <v>1</v>
      </c>
      <c r="H75" s="2">
        <v>24.93</v>
      </c>
      <c r="I75" s="3">
        <v>0.05</v>
      </c>
      <c r="J75" s="2">
        <v>23.68</v>
      </c>
      <c r="K75" t="s">
        <v>61</v>
      </c>
    </row>
    <row r="76" spans="1:11">
      <c r="A76" t="s">
        <v>206</v>
      </c>
      <c r="B76" s="1">
        <v>45723</v>
      </c>
      <c r="C76" t="s">
        <v>207</v>
      </c>
      <c r="D76" t="s">
        <v>18</v>
      </c>
      <c r="E76" t="s">
        <v>29</v>
      </c>
      <c r="F76" t="s">
        <v>68</v>
      </c>
      <c r="G76">
        <v>1</v>
      </c>
      <c r="H76" s="2">
        <v>51.72</v>
      </c>
      <c r="I76" s="3">
        <v>0.15</v>
      </c>
      <c r="J76" s="2">
        <v>43.96</v>
      </c>
      <c r="K76" t="s">
        <v>79</v>
      </c>
    </row>
    <row r="77" spans="1:11">
      <c r="A77" t="s">
        <v>208</v>
      </c>
      <c r="B77" s="1">
        <v>45987</v>
      </c>
      <c r="C77" t="s">
        <v>209</v>
      </c>
      <c r="D77" t="s">
        <v>30</v>
      </c>
      <c r="E77" t="s">
        <v>25</v>
      </c>
      <c r="F77" t="s">
        <v>38</v>
      </c>
      <c r="G77">
        <v>1</v>
      </c>
      <c r="H77" s="2">
        <v>119.28</v>
      </c>
      <c r="I77" s="3">
        <v>0</v>
      </c>
      <c r="J77" s="2">
        <v>119.28</v>
      </c>
      <c r="K77" t="s">
        <v>61</v>
      </c>
    </row>
    <row r="78" spans="1:11">
      <c r="A78" t="s">
        <v>210</v>
      </c>
      <c r="B78" s="1">
        <v>45766</v>
      </c>
      <c r="C78" t="s">
        <v>211</v>
      </c>
      <c r="D78" t="s">
        <v>30</v>
      </c>
      <c r="E78" t="s">
        <v>21</v>
      </c>
      <c r="F78" t="s">
        <v>40</v>
      </c>
      <c r="G78">
        <v>1</v>
      </c>
      <c r="H78" s="2">
        <v>53.96</v>
      </c>
      <c r="I78" s="3">
        <v>0.1</v>
      </c>
      <c r="J78" s="2">
        <v>48.56</v>
      </c>
      <c r="K78" t="s">
        <v>61</v>
      </c>
    </row>
    <row r="79" spans="1:11">
      <c r="A79" t="s">
        <v>212</v>
      </c>
      <c r="B79" s="1">
        <v>45699</v>
      </c>
      <c r="C79" t="s">
        <v>213</v>
      </c>
      <c r="D79" t="s">
        <v>18</v>
      </c>
      <c r="E79" t="s">
        <v>21</v>
      </c>
      <c r="F79" t="s">
        <v>40</v>
      </c>
      <c r="G79">
        <v>1</v>
      </c>
      <c r="H79" s="2">
        <v>50.37</v>
      </c>
      <c r="I79" s="3">
        <v>0.05</v>
      </c>
      <c r="J79" s="2">
        <v>47.85</v>
      </c>
      <c r="K79" t="s">
        <v>56</v>
      </c>
    </row>
    <row r="80" spans="1:11">
      <c r="A80" t="s">
        <v>214</v>
      </c>
      <c r="B80" s="1">
        <v>45678</v>
      </c>
      <c r="C80" t="s">
        <v>198</v>
      </c>
      <c r="D80" t="s">
        <v>22</v>
      </c>
      <c r="E80" t="s">
        <v>17</v>
      </c>
      <c r="F80" t="s">
        <v>19</v>
      </c>
      <c r="G80">
        <v>3</v>
      </c>
      <c r="H80" s="2">
        <v>72.349999999999994</v>
      </c>
      <c r="I80" s="3">
        <v>0</v>
      </c>
      <c r="J80" s="2">
        <v>217.05</v>
      </c>
      <c r="K80" t="s">
        <v>79</v>
      </c>
    </row>
    <row r="81" spans="1:11">
      <c r="A81" t="s">
        <v>215</v>
      </c>
      <c r="B81" s="1">
        <v>45900</v>
      </c>
      <c r="C81" t="s">
        <v>216</v>
      </c>
      <c r="D81" t="s">
        <v>26</v>
      </c>
      <c r="E81" t="s">
        <v>29</v>
      </c>
      <c r="F81" t="s">
        <v>92</v>
      </c>
      <c r="G81">
        <v>1</v>
      </c>
      <c r="H81" s="2">
        <v>63.95</v>
      </c>
      <c r="I81" s="3">
        <v>0.1</v>
      </c>
      <c r="J81" s="2">
        <v>57.56</v>
      </c>
      <c r="K81" t="s">
        <v>79</v>
      </c>
    </row>
    <row r="82" spans="1:11">
      <c r="A82" t="s">
        <v>217</v>
      </c>
      <c r="B82" s="1">
        <v>45968</v>
      </c>
      <c r="C82" t="s">
        <v>218</v>
      </c>
      <c r="D82" t="s">
        <v>18</v>
      </c>
      <c r="E82" t="s">
        <v>29</v>
      </c>
      <c r="F82" t="s">
        <v>68</v>
      </c>
      <c r="G82">
        <v>4</v>
      </c>
      <c r="H82" s="2">
        <v>48.92</v>
      </c>
      <c r="I82" s="3">
        <v>0</v>
      </c>
      <c r="J82" s="2">
        <v>195.68</v>
      </c>
      <c r="K82" t="s">
        <v>56</v>
      </c>
    </row>
    <row r="83" spans="1:11">
      <c r="A83" t="s">
        <v>219</v>
      </c>
      <c r="B83" s="1">
        <v>45671</v>
      </c>
      <c r="C83" t="s">
        <v>220</v>
      </c>
      <c r="D83" t="s">
        <v>22</v>
      </c>
      <c r="E83" t="s">
        <v>33</v>
      </c>
      <c r="F83" t="s">
        <v>34</v>
      </c>
      <c r="G83">
        <v>2</v>
      </c>
      <c r="H83" s="2">
        <v>33.340000000000003</v>
      </c>
      <c r="I83" s="3">
        <v>0.1</v>
      </c>
      <c r="J83" s="2">
        <v>60.01</v>
      </c>
      <c r="K83" t="s">
        <v>79</v>
      </c>
    </row>
    <row r="84" spans="1:11">
      <c r="A84" t="s">
        <v>221</v>
      </c>
      <c r="B84" s="1">
        <v>45961</v>
      </c>
      <c r="C84" t="s">
        <v>222</v>
      </c>
      <c r="D84" t="s">
        <v>18</v>
      </c>
      <c r="E84" t="s">
        <v>25</v>
      </c>
      <c r="F84" t="s">
        <v>78</v>
      </c>
      <c r="G84">
        <v>3</v>
      </c>
      <c r="H84" s="2">
        <v>36.28</v>
      </c>
      <c r="I84" s="3">
        <v>0.05</v>
      </c>
      <c r="J84" s="2">
        <v>103.4</v>
      </c>
      <c r="K84" t="s">
        <v>61</v>
      </c>
    </row>
    <row r="85" spans="1:11">
      <c r="A85" t="s">
        <v>223</v>
      </c>
      <c r="B85" s="1">
        <v>45930</v>
      </c>
      <c r="C85" t="s">
        <v>224</v>
      </c>
      <c r="D85" t="s">
        <v>30</v>
      </c>
      <c r="E85" t="s">
        <v>25</v>
      </c>
      <c r="F85" t="s">
        <v>38</v>
      </c>
      <c r="G85">
        <v>2</v>
      </c>
      <c r="H85" s="2">
        <v>103.86</v>
      </c>
      <c r="I85" s="3">
        <v>0.05</v>
      </c>
      <c r="J85" s="2">
        <v>197.33</v>
      </c>
      <c r="K85" t="s">
        <v>61</v>
      </c>
    </row>
    <row r="86" spans="1:11">
      <c r="A86" t="s">
        <v>225</v>
      </c>
      <c r="B86" s="1">
        <v>45712</v>
      </c>
      <c r="C86" t="s">
        <v>198</v>
      </c>
      <c r="D86" t="s">
        <v>30</v>
      </c>
      <c r="E86" t="s">
        <v>25</v>
      </c>
      <c r="F86" t="s">
        <v>38</v>
      </c>
      <c r="G86">
        <v>4</v>
      </c>
      <c r="H86" s="2">
        <v>126.11</v>
      </c>
      <c r="I86" s="3">
        <v>0.1</v>
      </c>
      <c r="J86" s="2">
        <v>454</v>
      </c>
      <c r="K86" t="s">
        <v>79</v>
      </c>
    </row>
    <row r="87" spans="1:11">
      <c r="A87" t="s">
        <v>226</v>
      </c>
      <c r="B87" s="1">
        <v>45925</v>
      </c>
      <c r="C87" t="s">
        <v>227</v>
      </c>
      <c r="D87" t="s">
        <v>30</v>
      </c>
      <c r="E87" t="s">
        <v>29</v>
      </c>
      <c r="F87" t="s">
        <v>92</v>
      </c>
      <c r="G87">
        <v>1</v>
      </c>
      <c r="H87" s="2">
        <v>61.42</v>
      </c>
      <c r="I87" s="3">
        <v>0.15</v>
      </c>
      <c r="J87" s="2">
        <v>52.21</v>
      </c>
      <c r="K87" t="s">
        <v>61</v>
      </c>
    </row>
    <row r="88" spans="1:11">
      <c r="A88" t="s">
        <v>228</v>
      </c>
      <c r="B88" s="1">
        <v>45961</v>
      </c>
      <c r="C88" t="s">
        <v>229</v>
      </c>
      <c r="D88" t="s">
        <v>30</v>
      </c>
      <c r="E88" t="s">
        <v>33</v>
      </c>
      <c r="F88" t="s">
        <v>34</v>
      </c>
      <c r="G88">
        <v>1</v>
      </c>
      <c r="H88" s="2">
        <v>27</v>
      </c>
      <c r="I88" s="3">
        <v>0</v>
      </c>
      <c r="J88" s="2">
        <v>27</v>
      </c>
      <c r="K88" t="s">
        <v>79</v>
      </c>
    </row>
    <row r="89" spans="1:11">
      <c r="A89" t="s">
        <v>230</v>
      </c>
      <c r="B89" s="1">
        <v>45895</v>
      </c>
      <c r="C89" t="s">
        <v>231</v>
      </c>
      <c r="D89" t="s">
        <v>26</v>
      </c>
      <c r="E89" t="s">
        <v>29</v>
      </c>
      <c r="F89" t="s">
        <v>68</v>
      </c>
      <c r="G89">
        <v>2</v>
      </c>
      <c r="H89" s="2">
        <v>43.88</v>
      </c>
      <c r="I89" s="3">
        <v>0</v>
      </c>
      <c r="J89" s="2">
        <v>87.76</v>
      </c>
      <c r="K89" t="s">
        <v>79</v>
      </c>
    </row>
    <row r="90" spans="1:11">
      <c r="A90" t="s">
        <v>232</v>
      </c>
      <c r="B90" s="1">
        <v>45907</v>
      </c>
      <c r="C90" t="s">
        <v>233</v>
      </c>
      <c r="D90" t="s">
        <v>18</v>
      </c>
      <c r="E90" t="s">
        <v>33</v>
      </c>
      <c r="F90" t="s">
        <v>31</v>
      </c>
      <c r="G90">
        <v>1</v>
      </c>
      <c r="H90" s="2">
        <v>69.209999999999994</v>
      </c>
      <c r="I90" s="3">
        <v>0.05</v>
      </c>
      <c r="J90" s="2">
        <v>65.75</v>
      </c>
      <c r="K90" t="s">
        <v>56</v>
      </c>
    </row>
    <row r="91" spans="1:11">
      <c r="A91" t="s">
        <v>234</v>
      </c>
      <c r="B91" s="1">
        <v>45755</v>
      </c>
      <c r="C91" t="s">
        <v>235</v>
      </c>
      <c r="D91" t="s">
        <v>30</v>
      </c>
      <c r="E91" t="s">
        <v>17</v>
      </c>
      <c r="F91" t="s">
        <v>23</v>
      </c>
      <c r="G91">
        <v>1</v>
      </c>
      <c r="H91" s="2">
        <v>126.95</v>
      </c>
      <c r="I91" s="3">
        <v>0.15</v>
      </c>
      <c r="J91" s="2">
        <v>107.91</v>
      </c>
      <c r="K91" t="s">
        <v>56</v>
      </c>
    </row>
    <row r="92" spans="1:11">
      <c r="A92" t="s">
        <v>236</v>
      </c>
      <c r="B92" s="1">
        <v>46022</v>
      </c>
      <c r="C92" t="s">
        <v>237</v>
      </c>
      <c r="D92" t="s">
        <v>30</v>
      </c>
      <c r="E92" t="s">
        <v>21</v>
      </c>
      <c r="F92" t="s">
        <v>40</v>
      </c>
      <c r="G92">
        <v>1</v>
      </c>
      <c r="H92" s="2">
        <v>41.93</v>
      </c>
      <c r="I92" s="3">
        <v>0.05</v>
      </c>
      <c r="J92" s="2">
        <v>39.83</v>
      </c>
      <c r="K92" t="s">
        <v>56</v>
      </c>
    </row>
    <row r="93" spans="1:11">
      <c r="A93" t="s">
        <v>238</v>
      </c>
      <c r="B93" s="1">
        <v>45782</v>
      </c>
      <c r="C93" t="s">
        <v>239</v>
      </c>
      <c r="D93" t="s">
        <v>26</v>
      </c>
      <c r="E93" t="s">
        <v>33</v>
      </c>
      <c r="F93" t="s">
        <v>34</v>
      </c>
      <c r="G93">
        <v>2</v>
      </c>
      <c r="H93" s="2">
        <v>28.18</v>
      </c>
      <c r="I93" s="3">
        <v>0.15</v>
      </c>
      <c r="J93" s="2">
        <v>47.91</v>
      </c>
      <c r="K93" t="s">
        <v>61</v>
      </c>
    </row>
    <row r="94" spans="1:11">
      <c r="A94" t="s">
        <v>240</v>
      </c>
      <c r="B94" s="1">
        <v>45939</v>
      </c>
      <c r="C94" t="s">
        <v>241</v>
      </c>
      <c r="D94" t="s">
        <v>22</v>
      </c>
      <c r="E94" t="s">
        <v>25</v>
      </c>
      <c r="F94" t="s">
        <v>36</v>
      </c>
      <c r="G94">
        <v>1</v>
      </c>
      <c r="H94" s="2">
        <v>88.98</v>
      </c>
      <c r="I94" s="3">
        <v>0.05</v>
      </c>
      <c r="J94" s="2">
        <v>84.53</v>
      </c>
      <c r="K94" t="s">
        <v>79</v>
      </c>
    </row>
    <row r="95" spans="1:11">
      <c r="A95" t="s">
        <v>242</v>
      </c>
      <c r="B95" s="1">
        <v>45756</v>
      </c>
      <c r="C95" t="s">
        <v>243</v>
      </c>
      <c r="D95" t="s">
        <v>22</v>
      </c>
      <c r="E95" t="s">
        <v>25</v>
      </c>
      <c r="F95" t="s">
        <v>36</v>
      </c>
      <c r="G95">
        <v>1</v>
      </c>
      <c r="H95" s="2">
        <v>91.39</v>
      </c>
      <c r="I95" s="3">
        <v>0</v>
      </c>
      <c r="J95" s="2">
        <v>91.39</v>
      </c>
      <c r="K95" t="s">
        <v>56</v>
      </c>
    </row>
    <row r="96" spans="1:11">
      <c r="A96" t="s">
        <v>244</v>
      </c>
      <c r="B96" s="1">
        <v>45905</v>
      </c>
      <c r="C96" t="s">
        <v>245</v>
      </c>
      <c r="D96" t="s">
        <v>18</v>
      </c>
      <c r="E96" t="s">
        <v>33</v>
      </c>
      <c r="F96" t="s">
        <v>34</v>
      </c>
      <c r="G96">
        <v>2</v>
      </c>
      <c r="H96" s="2">
        <v>34</v>
      </c>
      <c r="I96" s="3">
        <v>0.15</v>
      </c>
      <c r="J96" s="2">
        <v>57.8</v>
      </c>
      <c r="K96" t="s">
        <v>79</v>
      </c>
    </row>
    <row r="97" spans="1:11">
      <c r="A97" t="s">
        <v>246</v>
      </c>
      <c r="B97" s="1">
        <v>45809</v>
      </c>
      <c r="C97" t="s">
        <v>247</v>
      </c>
      <c r="D97" t="s">
        <v>26</v>
      </c>
      <c r="E97" t="s">
        <v>33</v>
      </c>
      <c r="F97" t="s">
        <v>31</v>
      </c>
      <c r="G97">
        <v>1</v>
      </c>
      <c r="H97" s="2">
        <v>70.28</v>
      </c>
      <c r="I97" s="3">
        <v>0.15</v>
      </c>
      <c r="J97" s="2">
        <v>59.74</v>
      </c>
      <c r="K97" t="s">
        <v>79</v>
      </c>
    </row>
    <row r="98" spans="1:11">
      <c r="A98" t="s">
        <v>248</v>
      </c>
      <c r="B98" s="1">
        <v>45685</v>
      </c>
      <c r="C98" t="s">
        <v>249</v>
      </c>
      <c r="D98" t="s">
        <v>18</v>
      </c>
      <c r="E98" t="s">
        <v>21</v>
      </c>
      <c r="F98" t="s">
        <v>71</v>
      </c>
      <c r="G98">
        <v>1</v>
      </c>
      <c r="H98" s="2">
        <v>80.150000000000006</v>
      </c>
      <c r="I98" s="3">
        <v>0.1</v>
      </c>
      <c r="J98" s="2">
        <v>72.14</v>
      </c>
      <c r="K98" t="s">
        <v>56</v>
      </c>
    </row>
    <row r="99" spans="1:11">
      <c r="A99" t="s">
        <v>250</v>
      </c>
      <c r="B99" s="1">
        <v>45803</v>
      </c>
      <c r="C99" t="s">
        <v>251</v>
      </c>
      <c r="D99" t="s">
        <v>30</v>
      </c>
      <c r="E99" t="s">
        <v>21</v>
      </c>
      <c r="F99" t="s">
        <v>40</v>
      </c>
      <c r="G99">
        <v>1</v>
      </c>
      <c r="H99" s="2">
        <v>47.16</v>
      </c>
      <c r="I99" s="3">
        <v>0</v>
      </c>
      <c r="J99" s="2">
        <v>47.16</v>
      </c>
      <c r="K99" t="s">
        <v>79</v>
      </c>
    </row>
    <row r="100" spans="1:11">
      <c r="A100" t="s">
        <v>252</v>
      </c>
      <c r="B100" s="1">
        <v>45691</v>
      </c>
      <c r="C100" t="s">
        <v>253</v>
      </c>
      <c r="D100" t="s">
        <v>22</v>
      </c>
      <c r="E100" t="s">
        <v>25</v>
      </c>
      <c r="F100" t="s">
        <v>38</v>
      </c>
      <c r="G100">
        <v>1</v>
      </c>
      <c r="H100" s="2">
        <v>123.81</v>
      </c>
      <c r="I100" s="3">
        <v>0</v>
      </c>
      <c r="J100" s="2">
        <v>123.81</v>
      </c>
      <c r="K100" t="s">
        <v>56</v>
      </c>
    </row>
    <row r="101" spans="1:11">
      <c r="A101" t="s">
        <v>254</v>
      </c>
      <c r="B101" s="1">
        <v>45813</v>
      </c>
      <c r="C101" t="s">
        <v>255</v>
      </c>
      <c r="D101" t="s">
        <v>30</v>
      </c>
      <c r="E101" t="s">
        <v>17</v>
      </c>
      <c r="F101" t="s">
        <v>23</v>
      </c>
      <c r="G101">
        <v>4</v>
      </c>
      <c r="H101" s="2">
        <v>114.69</v>
      </c>
      <c r="I101" s="3">
        <v>0.1</v>
      </c>
      <c r="J101" s="2">
        <v>412.88</v>
      </c>
      <c r="K101" t="s">
        <v>61</v>
      </c>
    </row>
    <row r="102" spans="1:11">
      <c r="A102" t="s">
        <v>256</v>
      </c>
      <c r="B102" s="1">
        <v>45884</v>
      </c>
      <c r="C102" t="s">
        <v>176</v>
      </c>
      <c r="D102" t="s">
        <v>18</v>
      </c>
      <c r="E102" t="s">
        <v>33</v>
      </c>
      <c r="F102" t="s">
        <v>34</v>
      </c>
      <c r="G102">
        <v>3</v>
      </c>
      <c r="H102" s="2">
        <v>34.119999999999997</v>
      </c>
      <c r="I102" s="3">
        <v>0.05</v>
      </c>
      <c r="J102" s="2">
        <v>97.24</v>
      </c>
      <c r="K102" t="s">
        <v>56</v>
      </c>
    </row>
    <row r="103" spans="1:11">
      <c r="A103" t="s">
        <v>257</v>
      </c>
      <c r="B103" s="1">
        <v>45708</v>
      </c>
      <c r="C103" t="s">
        <v>258</v>
      </c>
      <c r="D103" t="s">
        <v>22</v>
      </c>
      <c r="E103" t="s">
        <v>33</v>
      </c>
      <c r="F103" t="s">
        <v>31</v>
      </c>
      <c r="G103">
        <v>2</v>
      </c>
      <c r="H103" s="2">
        <v>69.36</v>
      </c>
      <c r="I103" s="3">
        <v>0</v>
      </c>
      <c r="J103" s="2">
        <v>138.72</v>
      </c>
      <c r="K103" t="s">
        <v>79</v>
      </c>
    </row>
    <row r="104" spans="1:11">
      <c r="A104" t="s">
        <v>259</v>
      </c>
      <c r="B104" s="1">
        <v>45940</v>
      </c>
      <c r="C104" t="s">
        <v>260</v>
      </c>
      <c r="D104" t="s">
        <v>26</v>
      </c>
      <c r="E104" t="s">
        <v>17</v>
      </c>
      <c r="F104" t="s">
        <v>23</v>
      </c>
      <c r="G104">
        <v>1</v>
      </c>
      <c r="H104" s="2">
        <v>127.04</v>
      </c>
      <c r="I104" s="3">
        <v>0.15</v>
      </c>
      <c r="J104" s="2">
        <v>107.98</v>
      </c>
      <c r="K104" t="s">
        <v>79</v>
      </c>
    </row>
    <row r="105" spans="1:11">
      <c r="A105" t="s">
        <v>261</v>
      </c>
      <c r="B105" s="1">
        <v>45776</v>
      </c>
      <c r="C105" t="s">
        <v>262</v>
      </c>
      <c r="D105" t="s">
        <v>22</v>
      </c>
      <c r="E105" t="s">
        <v>33</v>
      </c>
      <c r="F105" t="s">
        <v>34</v>
      </c>
      <c r="G105">
        <v>2</v>
      </c>
      <c r="H105" s="2">
        <v>31.38</v>
      </c>
      <c r="I105" s="3">
        <v>0.1</v>
      </c>
      <c r="J105" s="2">
        <v>56.48</v>
      </c>
      <c r="K105" t="s">
        <v>61</v>
      </c>
    </row>
    <row r="106" spans="1:11">
      <c r="A106" t="s">
        <v>263</v>
      </c>
      <c r="B106" s="1">
        <v>45978</v>
      </c>
      <c r="C106" t="s">
        <v>264</v>
      </c>
      <c r="D106" t="s">
        <v>22</v>
      </c>
      <c r="E106" t="s">
        <v>29</v>
      </c>
      <c r="F106" t="s">
        <v>68</v>
      </c>
      <c r="G106">
        <v>2</v>
      </c>
      <c r="H106" s="2">
        <v>52.11</v>
      </c>
      <c r="I106" s="3">
        <v>0.1</v>
      </c>
      <c r="J106" s="2">
        <v>93.8</v>
      </c>
      <c r="K106" t="s">
        <v>56</v>
      </c>
    </row>
    <row r="107" spans="1:11">
      <c r="A107" t="s">
        <v>265</v>
      </c>
      <c r="B107" s="1">
        <v>45734</v>
      </c>
      <c r="C107" t="s">
        <v>266</v>
      </c>
      <c r="D107" t="s">
        <v>26</v>
      </c>
      <c r="E107" t="s">
        <v>33</v>
      </c>
      <c r="F107" t="s">
        <v>34</v>
      </c>
      <c r="G107">
        <v>2</v>
      </c>
      <c r="H107" s="2">
        <v>25.33</v>
      </c>
      <c r="I107" s="3">
        <v>0</v>
      </c>
      <c r="J107" s="2">
        <v>50.66</v>
      </c>
      <c r="K107" t="s">
        <v>61</v>
      </c>
    </row>
    <row r="108" spans="1:11">
      <c r="A108" t="s">
        <v>267</v>
      </c>
      <c r="B108" s="1">
        <v>45721</v>
      </c>
      <c r="C108" t="s">
        <v>96</v>
      </c>
      <c r="D108" t="s">
        <v>30</v>
      </c>
      <c r="E108" t="s">
        <v>21</v>
      </c>
      <c r="F108" t="s">
        <v>40</v>
      </c>
      <c r="G108">
        <v>2</v>
      </c>
      <c r="H108" s="2">
        <v>52.96</v>
      </c>
      <c r="I108" s="3">
        <v>0.05</v>
      </c>
      <c r="J108" s="2">
        <v>100.62</v>
      </c>
      <c r="K108" t="s">
        <v>61</v>
      </c>
    </row>
    <row r="109" spans="1:11">
      <c r="A109" t="s">
        <v>268</v>
      </c>
      <c r="B109" s="1">
        <v>45699</v>
      </c>
      <c r="C109" t="s">
        <v>269</v>
      </c>
      <c r="D109" t="s">
        <v>18</v>
      </c>
      <c r="E109" t="s">
        <v>29</v>
      </c>
      <c r="F109" t="s">
        <v>68</v>
      </c>
      <c r="G109">
        <v>1</v>
      </c>
      <c r="H109" s="2">
        <v>44.67</v>
      </c>
      <c r="I109" s="3">
        <v>0.05</v>
      </c>
      <c r="J109" s="2">
        <v>42.44</v>
      </c>
      <c r="K109" t="s">
        <v>79</v>
      </c>
    </row>
    <row r="110" spans="1:11">
      <c r="A110" t="s">
        <v>270</v>
      </c>
      <c r="B110" s="1">
        <v>45775</v>
      </c>
      <c r="C110" t="s">
        <v>271</v>
      </c>
      <c r="D110" t="s">
        <v>18</v>
      </c>
      <c r="E110" t="s">
        <v>29</v>
      </c>
      <c r="F110" t="s">
        <v>92</v>
      </c>
      <c r="G110">
        <v>3</v>
      </c>
      <c r="H110" s="2">
        <v>57.19</v>
      </c>
      <c r="I110" s="3">
        <v>0</v>
      </c>
      <c r="J110" s="2">
        <v>171.57</v>
      </c>
      <c r="K110" t="s">
        <v>79</v>
      </c>
    </row>
    <row r="111" spans="1:11">
      <c r="A111" t="s">
        <v>272</v>
      </c>
      <c r="B111" s="1">
        <v>45898</v>
      </c>
      <c r="C111" t="s">
        <v>273</v>
      </c>
      <c r="D111" t="s">
        <v>30</v>
      </c>
      <c r="E111" t="s">
        <v>21</v>
      </c>
      <c r="F111" t="s">
        <v>71</v>
      </c>
      <c r="G111">
        <v>2</v>
      </c>
      <c r="H111" s="2">
        <v>79.510000000000005</v>
      </c>
      <c r="I111" s="3">
        <v>0</v>
      </c>
      <c r="J111" s="2">
        <v>159.02000000000001</v>
      </c>
      <c r="K111" t="s">
        <v>56</v>
      </c>
    </row>
    <row r="112" spans="1:11">
      <c r="A112" t="s">
        <v>274</v>
      </c>
      <c r="B112" s="1">
        <v>45909</v>
      </c>
      <c r="C112" t="s">
        <v>275</v>
      </c>
      <c r="D112" t="s">
        <v>22</v>
      </c>
      <c r="E112" t="s">
        <v>17</v>
      </c>
      <c r="F112" t="s">
        <v>23</v>
      </c>
      <c r="G112">
        <v>1</v>
      </c>
      <c r="H112" s="2">
        <v>127.03</v>
      </c>
      <c r="I112" s="3">
        <v>0.05</v>
      </c>
      <c r="J112" s="2">
        <v>120.68</v>
      </c>
      <c r="K112" t="s">
        <v>61</v>
      </c>
    </row>
    <row r="113" spans="1:11">
      <c r="A113" t="s">
        <v>276</v>
      </c>
      <c r="B113" s="1">
        <v>45868</v>
      </c>
      <c r="C113" t="s">
        <v>122</v>
      </c>
      <c r="D113" t="s">
        <v>18</v>
      </c>
      <c r="E113" t="s">
        <v>25</v>
      </c>
      <c r="F113" t="s">
        <v>78</v>
      </c>
      <c r="G113">
        <v>1</v>
      </c>
      <c r="H113" s="2">
        <v>41.68</v>
      </c>
      <c r="I113" s="3">
        <v>0.1</v>
      </c>
      <c r="J113" s="2">
        <v>37.51</v>
      </c>
      <c r="K113" t="s">
        <v>61</v>
      </c>
    </row>
    <row r="114" spans="1:11">
      <c r="A114" t="s">
        <v>277</v>
      </c>
      <c r="B114" s="1">
        <v>45703</v>
      </c>
      <c r="C114" t="s">
        <v>278</v>
      </c>
      <c r="D114" t="s">
        <v>18</v>
      </c>
      <c r="E114" t="s">
        <v>25</v>
      </c>
      <c r="F114" t="s">
        <v>36</v>
      </c>
      <c r="G114">
        <v>1</v>
      </c>
      <c r="H114" s="2">
        <v>79.05</v>
      </c>
      <c r="I114" s="3">
        <v>0.1</v>
      </c>
      <c r="J114" s="2">
        <v>71.14</v>
      </c>
      <c r="K114" t="s">
        <v>56</v>
      </c>
    </row>
    <row r="115" spans="1:11">
      <c r="A115" t="s">
        <v>279</v>
      </c>
      <c r="B115" s="1">
        <v>45935</v>
      </c>
      <c r="C115" t="s">
        <v>280</v>
      </c>
      <c r="D115" t="s">
        <v>30</v>
      </c>
      <c r="E115" t="s">
        <v>21</v>
      </c>
      <c r="F115" t="s">
        <v>40</v>
      </c>
      <c r="G115">
        <v>1</v>
      </c>
      <c r="H115" s="2">
        <v>44.68</v>
      </c>
      <c r="I115" s="3">
        <v>0.05</v>
      </c>
      <c r="J115" s="2">
        <v>42.45</v>
      </c>
      <c r="K115" t="s">
        <v>79</v>
      </c>
    </row>
    <row r="116" spans="1:11">
      <c r="A116" t="s">
        <v>281</v>
      </c>
      <c r="B116" s="1">
        <v>45762</v>
      </c>
      <c r="C116" t="s">
        <v>282</v>
      </c>
      <c r="D116" t="s">
        <v>18</v>
      </c>
      <c r="E116" t="s">
        <v>33</v>
      </c>
      <c r="F116" t="s">
        <v>34</v>
      </c>
      <c r="G116">
        <v>1</v>
      </c>
      <c r="H116" s="2">
        <v>33.53</v>
      </c>
      <c r="I116" s="3">
        <v>0.1</v>
      </c>
      <c r="J116" s="2">
        <v>30.18</v>
      </c>
      <c r="K116" t="s">
        <v>79</v>
      </c>
    </row>
    <row r="117" spans="1:11">
      <c r="A117" t="s">
        <v>283</v>
      </c>
      <c r="B117" s="1">
        <v>45980</v>
      </c>
      <c r="C117" t="s">
        <v>284</v>
      </c>
      <c r="D117" t="s">
        <v>18</v>
      </c>
      <c r="E117" t="s">
        <v>29</v>
      </c>
      <c r="F117" t="s">
        <v>68</v>
      </c>
      <c r="G117">
        <v>2</v>
      </c>
      <c r="H117" s="2">
        <v>48.79</v>
      </c>
      <c r="I117" s="3">
        <v>0.05</v>
      </c>
      <c r="J117" s="2">
        <v>92.7</v>
      </c>
      <c r="K117" t="s">
        <v>56</v>
      </c>
    </row>
    <row r="118" spans="1:11">
      <c r="A118" t="s">
        <v>285</v>
      </c>
      <c r="B118" s="1">
        <v>45866</v>
      </c>
      <c r="C118" t="s">
        <v>286</v>
      </c>
      <c r="D118" t="s">
        <v>18</v>
      </c>
      <c r="E118" t="s">
        <v>17</v>
      </c>
      <c r="F118" t="s">
        <v>23</v>
      </c>
      <c r="G118">
        <v>1</v>
      </c>
      <c r="H118" s="2">
        <v>145.47</v>
      </c>
      <c r="I118" s="3">
        <v>0</v>
      </c>
      <c r="J118" s="2">
        <v>145.47</v>
      </c>
      <c r="K118" t="s">
        <v>56</v>
      </c>
    </row>
    <row r="119" spans="1:11">
      <c r="A119" t="s">
        <v>287</v>
      </c>
      <c r="B119" s="1">
        <v>45736</v>
      </c>
      <c r="C119" t="s">
        <v>288</v>
      </c>
      <c r="D119" t="s">
        <v>30</v>
      </c>
      <c r="E119" t="s">
        <v>21</v>
      </c>
      <c r="F119" t="s">
        <v>40</v>
      </c>
      <c r="G119">
        <v>3</v>
      </c>
      <c r="H119" s="2">
        <v>46.37</v>
      </c>
      <c r="I119" s="3">
        <v>0.05</v>
      </c>
      <c r="J119" s="2">
        <v>132.15</v>
      </c>
      <c r="K119" t="s">
        <v>61</v>
      </c>
    </row>
    <row r="120" spans="1:11">
      <c r="A120" t="s">
        <v>289</v>
      </c>
      <c r="B120" s="1">
        <v>45782</v>
      </c>
      <c r="C120" t="s">
        <v>290</v>
      </c>
      <c r="D120" t="s">
        <v>22</v>
      </c>
      <c r="E120" t="s">
        <v>21</v>
      </c>
      <c r="F120" t="s">
        <v>40</v>
      </c>
      <c r="G120">
        <v>2</v>
      </c>
      <c r="H120" s="2">
        <v>47.85</v>
      </c>
      <c r="I120" s="3">
        <v>0.15</v>
      </c>
      <c r="J120" s="2">
        <v>81.34</v>
      </c>
      <c r="K120" t="s">
        <v>79</v>
      </c>
    </row>
    <row r="121" spans="1:11">
      <c r="A121" t="s">
        <v>291</v>
      </c>
      <c r="B121" s="1">
        <v>45799</v>
      </c>
      <c r="C121" t="s">
        <v>292</v>
      </c>
      <c r="D121" t="s">
        <v>26</v>
      </c>
      <c r="E121" t="s">
        <v>25</v>
      </c>
      <c r="F121" t="s">
        <v>38</v>
      </c>
      <c r="G121">
        <v>1</v>
      </c>
      <c r="H121" s="2">
        <v>132.08000000000001</v>
      </c>
      <c r="I121" s="3">
        <v>0.05</v>
      </c>
      <c r="J121" s="2">
        <v>125.48</v>
      </c>
      <c r="K121" t="s">
        <v>56</v>
      </c>
    </row>
    <row r="122" spans="1:11">
      <c r="A122" t="s">
        <v>293</v>
      </c>
      <c r="B122" s="1">
        <v>45810</v>
      </c>
      <c r="C122" t="s">
        <v>294</v>
      </c>
      <c r="D122" t="s">
        <v>30</v>
      </c>
      <c r="E122" t="s">
        <v>29</v>
      </c>
      <c r="F122" t="s">
        <v>68</v>
      </c>
      <c r="G122">
        <v>2</v>
      </c>
      <c r="H122" s="2">
        <v>48.05</v>
      </c>
      <c r="I122" s="3">
        <v>0</v>
      </c>
      <c r="J122" s="2">
        <v>96.1</v>
      </c>
      <c r="K122" t="s">
        <v>61</v>
      </c>
    </row>
    <row r="123" spans="1:11">
      <c r="A123" t="s">
        <v>295</v>
      </c>
      <c r="B123" s="1">
        <v>45828</v>
      </c>
      <c r="C123" t="s">
        <v>296</v>
      </c>
      <c r="D123" t="s">
        <v>22</v>
      </c>
      <c r="E123" t="s">
        <v>21</v>
      </c>
      <c r="F123" t="s">
        <v>71</v>
      </c>
      <c r="G123">
        <v>2</v>
      </c>
      <c r="H123" s="2">
        <v>67.239999999999995</v>
      </c>
      <c r="I123" s="3">
        <v>0.05</v>
      </c>
      <c r="J123" s="2">
        <v>127.76</v>
      </c>
      <c r="K123" t="s">
        <v>56</v>
      </c>
    </row>
    <row r="124" spans="1:11">
      <c r="A124" t="s">
        <v>297</v>
      </c>
      <c r="B124" s="1">
        <v>45854</v>
      </c>
      <c r="C124" t="s">
        <v>298</v>
      </c>
      <c r="D124" t="s">
        <v>30</v>
      </c>
      <c r="E124" t="s">
        <v>33</v>
      </c>
      <c r="F124" t="s">
        <v>31</v>
      </c>
      <c r="G124">
        <v>3</v>
      </c>
      <c r="H124" s="2">
        <v>72.930000000000007</v>
      </c>
      <c r="I124" s="3">
        <v>0.05</v>
      </c>
      <c r="J124" s="2">
        <v>207.85</v>
      </c>
      <c r="K124" t="s">
        <v>61</v>
      </c>
    </row>
    <row r="125" spans="1:11">
      <c r="A125" t="s">
        <v>299</v>
      </c>
      <c r="B125" s="1">
        <v>45997</v>
      </c>
      <c r="C125" t="s">
        <v>247</v>
      </c>
      <c r="D125" t="s">
        <v>26</v>
      </c>
      <c r="E125" t="s">
        <v>29</v>
      </c>
      <c r="F125" t="s">
        <v>92</v>
      </c>
      <c r="G125">
        <v>4</v>
      </c>
      <c r="H125" s="2">
        <v>55.74</v>
      </c>
      <c r="I125" s="3">
        <v>0</v>
      </c>
      <c r="J125" s="2">
        <v>222.96</v>
      </c>
      <c r="K125" t="s">
        <v>79</v>
      </c>
    </row>
    <row r="126" spans="1:11">
      <c r="A126" t="s">
        <v>300</v>
      </c>
      <c r="B126" s="1">
        <v>45883</v>
      </c>
      <c r="C126" t="s">
        <v>301</v>
      </c>
      <c r="D126" t="s">
        <v>22</v>
      </c>
      <c r="E126" t="s">
        <v>17</v>
      </c>
      <c r="F126" t="s">
        <v>23</v>
      </c>
      <c r="G126">
        <v>1</v>
      </c>
      <c r="H126" s="2">
        <v>129.1</v>
      </c>
      <c r="I126" s="3">
        <v>0</v>
      </c>
      <c r="J126" s="2">
        <v>129.1</v>
      </c>
      <c r="K126" t="s">
        <v>79</v>
      </c>
    </row>
    <row r="127" spans="1:11">
      <c r="A127" t="s">
        <v>302</v>
      </c>
      <c r="B127" s="1">
        <v>45898</v>
      </c>
      <c r="C127" t="s">
        <v>303</v>
      </c>
      <c r="D127" t="s">
        <v>30</v>
      </c>
      <c r="E127" t="s">
        <v>33</v>
      </c>
      <c r="F127" t="s">
        <v>34</v>
      </c>
      <c r="G127">
        <v>1</v>
      </c>
      <c r="H127" s="2">
        <v>31.28</v>
      </c>
      <c r="I127" s="3">
        <v>0</v>
      </c>
      <c r="J127" s="2">
        <v>31.28</v>
      </c>
      <c r="K127" t="s">
        <v>61</v>
      </c>
    </row>
    <row r="128" spans="1:11">
      <c r="A128" t="s">
        <v>304</v>
      </c>
      <c r="B128" s="1">
        <v>45978</v>
      </c>
      <c r="C128" t="s">
        <v>305</v>
      </c>
      <c r="D128" t="s">
        <v>18</v>
      </c>
      <c r="E128" t="s">
        <v>25</v>
      </c>
      <c r="F128" t="s">
        <v>78</v>
      </c>
      <c r="G128">
        <v>3</v>
      </c>
      <c r="H128" s="2">
        <v>39.43</v>
      </c>
      <c r="I128" s="3">
        <v>0.15</v>
      </c>
      <c r="J128" s="2">
        <v>100.55</v>
      </c>
      <c r="K128" t="s">
        <v>79</v>
      </c>
    </row>
    <row r="129" spans="1:11">
      <c r="A129" t="s">
        <v>306</v>
      </c>
      <c r="B129" s="1">
        <v>45981</v>
      </c>
      <c r="C129" t="s">
        <v>307</v>
      </c>
      <c r="D129" t="s">
        <v>18</v>
      </c>
      <c r="E129" t="s">
        <v>29</v>
      </c>
      <c r="F129" t="s">
        <v>92</v>
      </c>
      <c r="G129">
        <v>3</v>
      </c>
      <c r="H129" s="2">
        <v>64.849999999999994</v>
      </c>
      <c r="I129" s="3">
        <v>0</v>
      </c>
      <c r="J129" s="2">
        <v>194.55</v>
      </c>
      <c r="K129" t="s">
        <v>56</v>
      </c>
    </row>
    <row r="130" spans="1:11">
      <c r="A130" t="s">
        <v>308</v>
      </c>
      <c r="B130" s="1">
        <v>46018</v>
      </c>
      <c r="C130" t="s">
        <v>309</v>
      </c>
      <c r="D130" t="s">
        <v>26</v>
      </c>
      <c r="E130" t="s">
        <v>17</v>
      </c>
      <c r="F130" t="s">
        <v>23</v>
      </c>
      <c r="G130">
        <v>1</v>
      </c>
      <c r="H130" s="2">
        <v>139.19</v>
      </c>
      <c r="I130" s="3">
        <v>0</v>
      </c>
      <c r="J130" s="2">
        <v>139.19</v>
      </c>
      <c r="K130" t="s">
        <v>79</v>
      </c>
    </row>
    <row r="131" spans="1:11">
      <c r="A131" t="s">
        <v>310</v>
      </c>
      <c r="B131" s="1">
        <v>45808</v>
      </c>
      <c r="C131" t="s">
        <v>158</v>
      </c>
      <c r="D131" t="s">
        <v>22</v>
      </c>
      <c r="E131" t="s">
        <v>25</v>
      </c>
      <c r="F131" t="s">
        <v>36</v>
      </c>
      <c r="G131">
        <v>1</v>
      </c>
      <c r="H131" s="2">
        <v>79.930000000000007</v>
      </c>
      <c r="I131" s="3">
        <v>0.15</v>
      </c>
      <c r="J131" s="2">
        <v>67.94</v>
      </c>
      <c r="K131" t="s">
        <v>79</v>
      </c>
    </row>
    <row r="132" spans="1:11">
      <c r="A132" t="s">
        <v>311</v>
      </c>
      <c r="B132" s="1">
        <v>45747</v>
      </c>
      <c r="C132" t="s">
        <v>312</v>
      </c>
      <c r="D132" t="s">
        <v>22</v>
      </c>
      <c r="E132" t="s">
        <v>17</v>
      </c>
      <c r="F132" t="s">
        <v>23</v>
      </c>
      <c r="G132">
        <v>2</v>
      </c>
      <c r="H132" s="2">
        <v>125.93</v>
      </c>
      <c r="I132" s="3">
        <v>0</v>
      </c>
      <c r="J132" s="2">
        <v>251.86</v>
      </c>
      <c r="K132" t="s">
        <v>79</v>
      </c>
    </row>
    <row r="133" spans="1:11">
      <c r="A133" t="s">
        <v>313</v>
      </c>
      <c r="B133" s="1">
        <v>45894</v>
      </c>
      <c r="C133" t="s">
        <v>314</v>
      </c>
      <c r="D133" t="s">
        <v>26</v>
      </c>
      <c r="E133" t="s">
        <v>29</v>
      </c>
      <c r="F133" t="s">
        <v>92</v>
      </c>
      <c r="G133">
        <v>1</v>
      </c>
      <c r="H133" s="2">
        <v>51.38</v>
      </c>
      <c r="I133" s="3">
        <v>0</v>
      </c>
      <c r="J133" s="2">
        <v>51.38</v>
      </c>
      <c r="K133" t="s">
        <v>56</v>
      </c>
    </row>
    <row r="134" spans="1:11">
      <c r="A134" t="s">
        <v>315</v>
      </c>
      <c r="B134" s="1">
        <v>45937</v>
      </c>
      <c r="C134" t="s">
        <v>316</v>
      </c>
      <c r="D134" t="s">
        <v>30</v>
      </c>
      <c r="E134" t="s">
        <v>17</v>
      </c>
      <c r="F134" t="s">
        <v>27</v>
      </c>
      <c r="G134">
        <v>1</v>
      </c>
      <c r="H134" s="2">
        <v>68.55</v>
      </c>
      <c r="I134" s="3">
        <v>0.15</v>
      </c>
      <c r="J134" s="2">
        <v>58.27</v>
      </c>
      <c r="K134" t="s">
        <v>56</v>
      </c>
    </row>
    <row r="135" spans="1:11">
      <c r="A135" t="s">
        <v>317</v>
      </c>
      <c r="B135" s="1">
        <v>45786</v>
      </c>
      <c r="C135" t="s">
        <v>318</v>
      </c>
      <c r="D135" t="s">
        <v>18</v>
      </c>
      <c r="E135" t="s">
        <v>21</v>
      </c>
      <c r="F135" t="s">
        <v>40</v>
      </c>
      <c r="G135">
        <v>3</v>
      </c>
      <c r="H135" s="2">
        <v>44.87</v>
      </c>
      <c r="I135" s="3">
        <v>0.1</v>
      </c>
      <c r="J135" s="2">
        <v>121.15</v>
      </c>
      <c r="K135" t="s">
        <v>79</v>
      </c>
    </row>
    <row r="136" spans="1:11">
      <c r="A136" t="s">
        <v>319</v>
      </c>
      <c r="B136" s="1">
        <v>45853</v>
      </c>
      <c r="C136" t="s">
        <v>320</v>
      </c>
      <c r="D136" t="s">
        <v>30</v>
      </c>
      <c r="E136" t="s">
        <v>29</v>
      </c>
      <c r="F136" t="s">
        <v>68</v>
      </c>
      <c r="G136">
        <v>1</v>
      </c>
      <c r="H136" s="2">
        <v>42.64</v>
      </c>
      <c r="I136" s="3">
        <v>0.05</v>
      </c>
      <c r="J136" s="2">
        <v>40.51</v>
      </c>
      <c r="K136" t="s">
        <v>61</v>
      </c>
    </row>
    <row r="137" spans="1:11">
      <c r="A137" t="s">
        <v>321</v>
      </c>
      <c r="B137" s="1">
        <v>45662</v>
      </c>
      <c r="C137" t="s">
        <v>322</v>
      </c>
      <c r="D137" t="s">
        <v>26</v>
      </c>
      <c r="E137" t="s">
        <v>29</v>
      </c>
      <c r="F137" t="s">
        <v>68</v>
      </c>
      <c r="G137">
        <v>3</v>
      </c>
      <c r="H137" s="2">
        <v>49.81</v>
      </c>
      <c r="I137" s="3">
        <v>0</v>
      </c>
      <c r="J137" s="2">
        <v>149.43</v>
      </c>
      <c r="K137" t="s">
        <v>79</v>
      </c>
    </row>
    <row r="138" spans="1:11">
      <c r="A138" t="s">
        <v>323</v>
      </c>
      <c r="B138" s="1">
        <v>45968</v>
      </c>
      <c r="C138" t="s">
        <v>324</v>
      </c>
      <c r="D138" t="s">
        <v>18</v>
      </c>
      <c r="E138" t="s">
        <v>25</v>
      </c>
      <c r="F138" t="s">
        <v>36</v>
      </c>
      <c r="G138">
        <v>1</v>
      </c>
      <c r="H138" s="2">
        <v>81.23</v>
      </c>
      <c r="I138" s="3">
        <v>0.05</v>
      </c>
      <c r="J138" s="2">
        <v>77.17</v>
      </c>
      <c r="K138" t="s">
        <v>56</v>
      </c>
    </row>
    <row r="139" spans="1:11">
      <c r="A139" t="s">
        <v>325</v>
      </c>
      <c r="B139" s="1">
        <v>45988</v>
      </c>
      <c r="C139" t="s">
        <v>154</v>
      </c>
      <c r="D139" t="s">
        <v>22</v>
      </c>
      <c r="E139" t="s">
        <v>17</v>
      </c>
      <c r="F139" t="s">
        <v>19</v>
      </c>
      <c r="G139">
        <v>1</v>
      </c>
      <c r="H139" s="2">
        <v>78.64</v>
      </c>
      <c r="I139" s="3">
        <v>0.15</v>
      </c>
      <c r="J139" s="2">
        <v>66.84</v>
      </c>
      <c r="K139" t="s">
        <v>79</v>
      </c>
    </row>
    <row r="140" spans="1:11">
      <c r="A140" t="s">
        <v>326</v>
      </c>
      <c r="B140" s="1">
        <v>45809</v>
      </c>
      <c r="C140" t="s">
        <v>327</v>
      </c>
      <c r="D140" t="s">
        <v>26</v>
      </c>
      <c r="E140" t="s">
        <v>25</v>
      </c>
      <c r="F140" t="s">
        <v>36</v>
      </c>
      <c r="G140">
        <v>2</v>
      </c>
      <c r="H140" s="2">
        <v>80.81</v>
      </c>
      <c r="I140" s="3">
        <v>0</v>
      </c>
      <c r="J140" s="2">
        <v>161.62</v>
      </c>
      <c r="K140" t="s">
        <v>56</v>
      </c>
    </row>
    <row r="141" spans="1:11">
      <c r="A141" t="s">
        <v>328</v>
      </c>
      <c r="B141" s="1">
        <v>45914</v>
      </c>
      <c r="C141" t="s">
        <v>174</v>
      </c>
      <c r="D141" t="s">
        <v>26</v>
      </c>
      <c r="E141" t="s">
        <v>33</v>
      </c>
      <c r="F141" t="s">
        <v>34</v>
      </c>
      <c r="G141">
        <v>3</v>
      </c>
      <c r="H141" s="2">
        <v>27.11</v>
      </c>
      <c r="I141" s="3">
        <v>0.1</v>
      </c>
      <c r="J141" s="2">
        <v>73.2</v>
      </c>
      <c r="K141" t="s">
        <v>79</v>
      </c>
    </row>
    <row r="142" spans="1:11">
      <c r="A142" t="s">
        <v>329</v>
      </c>
      <c r="B142" s="1">
        <v>45897</v>
      </c>
      <c r="C142" t="s">
        <v>330</v>
      </c>
      <c r="D142" t="s">
        <v>26</v>
      </c>
      <c r="E142" t="s">
        <v>17</v>
      </c>
      <c r="F142" t="s">
        <v>23</v>
      </c>
      <c r="G142">
        <v>1</v>
      </c>
      <c r="H142" s="2">
        <v>150.79</v>
      </c>
      <c r="I142" s="3">
        <v>0.1</v>
      </c>
      <c r="J142" s="2">
        <v>135.71</v>
      </c>
      <c r="K142" t="s">
        <v>79</v>
      </c>
    </row>
    <row r="143" spans="1:11">
      <c r="A143" t="s">
        <v>331</v>
      </c>
      <c r="B143" s="1">
        <v>45860</v>
      </c>
      <c r="C143" t="s">
        <v>332</v>
      </c>
      <c r="D143" t="s">
        <v>30</v>
      </c>
      <c r="E143" t="s">
        <v>17</v>
      </c>
      <c r="F143" t="s">
        <v>19</v>
      </c>
      <c r="G143">
        <v>1</v>
      </c>
      <c r="H143" s="2">
        <v>70.37</v>
      </c>
      <c r="I143" s="3">
        <v>0.05</v>
      </c>
      <c r="J143" s="2">
        <v>66.849999999999994</v>
      </c>
      <c r="K143" t="s">
        <v>56</v>
      </c>
    </row>
    <row r="144" spans="1:11">
      <c r="A144" t="s">
        <v>333</v>
      </c>
      <c r="B144" s="1">
        <v>45848</v>
      </c>
      <c r="C144" t="s">
        <v>334</v>
      </c>
      <c r="D144" t="s">
        <v>26</v>
      </c>
      <c r="E144" t="s">
        <v>17</v>
      </c>
      <c r="F144" t="s">
        <v>23</v>
      </c>
      <c r="G144">
        <v>2</v>
      </c>
      <c r="H144" s="2">
        <v>129.72</v>
      </c>
      <c r="I144" s="3">
        <v>0.15</v>
      </c>
      <c r="J144" s="2">
        <v>220.52</v>
      </c>
      <c r="K144" t="s">
        <v>56</v>
      </c>
    </row>
    <row r="145" spans="1:11">
      <c r="A145" t="s">
        <v>335</v>
      </c>
      <c r="B145" s="1">
        <v>45771</v>
      </c>
      <c r="C145" t="s">
        <v>336</v>
      </c>
      <c r="D145" t="s">
        <v>18</v>
      </c>
      <c r="E145" t="s">
        <v>29</v>
      </c>
      <c r="F145" t="s">
        <v>92</v>
      </c>
      <c r="G145">
        <v>1</v>
      </c>
      <c r="H145" s="2">
        <v>61.7</v>
      </c>
      <c r="I145" s="3">
        <v>0.05</v>
      </c>
      <c r="J145" s="2">
        <v>58.62</v>
      </c>
      <c r="K145" t="s">
        <v>79</v>
      </c>
    </row>
    <row r="146" spans="1:11">
      <c r="A146" t="s">
        <v>337</v>
      </c>
      <c r="B146" s="1">
        <v>45681</v>
      </c>
      <c r="C146" t="s">
        <v>196</v>
      </c>
      <c r="D146" t="s">
        <v>22</v>
      </c>
      <c r="E146" t="s">
        <v>17</v>
      </c>
      <c r="F146" t="s">
        <v>19</v>
      </c>
      <c r="G146">
        <v>1</v>
      </c>
      <c r="H146" s="2">
        <v>79.989999999999995</v>
      </c>
      <c r="I146" s="3">
        <v>0</v>
      </c>
      <c r="J146" s="2">
        <v>79.989999999999995</v>
      </c>
      <c r="K146" t="s">
        <v>61</v>
      </c>
    </row>
    <row r="147" spans="1:11">
      <c r="A147" t="s">
        <v>338</v>
      </c>
      <c r="B147" s="1">
        <v>45890</v>
      </c>
      <c r="C147" t="s">
        <v>60</v>
      </c>
      <c r="D147" t="s">
        <v>22</v>
      </c>
      <c r="E147" t="s">
        <v>25</v>
      </c>
      <c r="F147" t="s">
        <v>36</v>
      </c>
      <c r="G147">
        <v>2</v>
      </c>
      <c r="H147" s="2">
        <v>97.48</v>
      </c>
      <c r="I147" s="3">
        <v>0.15</v>
      </c>
      <c r="J147" s="2">
        <v>165.72</v>
      </c>
      <c r="K147" t="s">
        <v>61</v>
      </c>
    </row>
    <row r="148" spans="1:11">
      <c r="A148" t="s">
        <v>339</v>
      </c>
      <c r="B148" s="1">
        <v>45993</v>
      </c>
      <c r="C148" t="s">
        <v>340</v>
      </c>
      <c r="D148" t="s">
        <v>26</v>
      </c>
      <c r="E148" t="s">
        <v>17</v>
      </c>
      <c r="F148" t="s">
        <v>23</v>
      </c>
      <c r="G148">
        <v>3</v>
      </c>
      <c r="H148" s="2">
        <v>135.86000000000001</v>
      </c>
      <c r="I148" s="3">
        <v>0.05</v>
      </c>
      <c r="J148" s="2">
        <v>387.2</v>
      </c>
      <c r="K148" t="s">
        <v>79</v>
      </c>
    </row>
    <row r="149" spans="1:11">
      <c r="A149" t="s">
        <v>341</v>
      </c>
      <c r="B149" s="1">
        <v>45885</v>
      </c>
      <c r="C149" t="s">
        <v>342</v>
      </c>
      <c r="D149" t="s">
        <v>26</v>
      </c>
      <c r="E149" t="s">
        <v>21</v>
      </c>
      <c r="F149" t="s">
        <v>40</v>
      </c>
      <c r="G149">
        <v>4</v>
      </c>
      <c r="H149" s="2">
        <v>55.48</v>
      </c>
      <c r="I149" s="3">
        <v>0</v>
      </c>
      <c r="J149" s="2">
        <v>221.92</v>
      </c>
      <c r="K149" t="s">
        <v>79</v>
      </c>
    </row>
    <row r="150" spans="1:11">
      <c r="A150" t="s">
        <v>343</v>
      </c>
      <c r="B150" s="1">
        <v>45861</v>
      </c>
      <c r="C150" t="s">
        <v>344</v>
      </c>
      <c r="D150" t="s">
        <v>22</v>
      </c>
      <c r="E150" t="s">
        <v>33</v>
      </c>
      <c r="F150" t="s">
        <v>34</v>
      </c>
      <c r="G150">
        <v>1</v>
      </c>
      <c r="H150" s="2">
        <v>25.82</v>
      </c>
      <c r="I150" s="3">
        <v>0.1</v>
      </c>
      <c r="J150" s="2">
        <v>23.24</v>
      </c>
      <c r="K150" t="s">
        <v>56</v>
      </c>
    </row>
    <row r="151" spans="1:11">
      <c r="A151" t="s">
        <v>345</v>
      </c>
      <c r="B151" s="1">
        <v>45985</v>
      </c>
      <c r="C151" t="s">
        <v>346</v>
      </c>
      <c r="D151" t="s">
        <v>22</v>
      </c>
      <c r="E151" t="s">
        <v>29</v>
      </c>
      <c r="F151" t="s">
        <v>68</v>
      </c>
      <c r="G151">
        <v>4</v>
      </c>
      <c r="H151" s="2">
        <v>39</v>
      </c>
      <c r="I151" s="3">
        <v>0.05</v>
      </c>
      <c r="J151" s="2">
        <v>148.19999999999999</v>
      </c>
      <c r="K151" t="s">
        <v>56</v>
      </c>
    </row>
    <row r="152" spans="1:11">
      <c r="A152" t="s">
        <v>347</v>
      </c>
      <c r="B152" s="1">
        <v>45763</v>
      </c>
      <c r="C152" t="s">
        <v>348</v>
      </c>
      <c r="D152" t="s">
        <v>22</v>
      </c>
      <c r="E152" t="s">
        <v>17</v>
      </c>
      <c r="F152" t="s">
        <v>23</v>
      </c>
      <c r="G152">
        <v>2</v>
      </c>
      <c r="H152" s="2">
        <v>133.24</v>
      </c>
      <c r="I152" s="3">
        <v>0.15</v>
      </c>
      <c r="J152" s="2">
        <v>226.51</v>
      </c>
      <c r="K152" t="s">
        <v>61</v>
      </c>
    </row>
    <row r="153" spans="1:11">
      <c r="A153" t="s">
        <v>349</v>
      </c>
      <c r="B153" s="1">
        <v>45733</v>
      </c>
      <c r="C153" t="s">
        <v>350</v>
      </c>
      <c r="D153" t="s">
        <v>26</v>
      </c>
      <c r="E153" t="s">
        <v>29</v>
      </c>
      <c r="F153" t="s">
        <v>68</v>
      </c>
      <c r="G153">
        <v>1</v>
      </c>
      <c r="H153" s="2">
        <v>51</v>
      </c>
      <c r="I153" s="3">
        <v>0</v>
      </c>
      <c r="J153" s="2">
        <v>51</v>
      </c>
      <c r="K153" t="s">
        <v>79</v>
      </c>
    </row>
    <row r="154" spans="1:11">
      <c r="A154" t="s">
        <v>351</v>
      </c>
      <c r="B154" s="1">
        <v>45714</v>
      </c>
      <c r="C154" t="s">
        <v>352</v>
      </c>
      <c r="D154" t="s">
        <v>26</v>
      </c>
      <c r="E154" t="s">
        <v>29</v>
      </c>
      <c r="F154" t="s">
        <v>92</v>
      </c>
      <c r="G154">
        <v>3</v>
      </c>
      <c r="H154" s="2">
        <v>49.14</v>
      </c>
      <c r="I154" s="3">
        <v>0.05</v>
      </c>
      <c r="J154" s="2">
        <v>140.05000000000001</v>
      </c>
      <c r="K154" t="s">
        <v>79</v>
      </c>
    </row>
    <row r="155" spans="1:11">
      <c r="A155" t="s">
        <v>353</v>
      </c>
      <c r="B155" s="1">
        <v>45747</v>
      </c>
      <c r="C155" t="s">
        <v>354</v>
      </c>
      <c r="D155" t="s">
        <v>18</v>
      </c>
      <c r="E155" t="s">
        <v>33</v>
      </c>
      <c r="F155" t="s">
        <v>34</v>
      </c>
      <c r="G155">
        <v>1</v>
      </c>
      <c r="H155" s="2">
        <v>31.75</v>
      </c>
      <c r="I155" s="3">
        <v>0.15</v>
      </c>
      <c r="J155" s="2">
        <v>26.99</v>
      </c>
      <c r="K155" t="s">
        <v>61</v>
      </c>
    </row>
    <row r="156" spans="1:11">
      <c r="A156" t="s">
        <v>355</v>
      </c>
      <c r="B156" s="1">
        <v>45887</v>
      </c>
      <c r="C156" t="s">
        <v>237</v>
      </c>
      <c r="D156" t="s">
        <v>18</v>
      </c>
      <c r="E156" t="s">
        <v>25</v>
      </c>
      <c r="F156" t="s">
        <v>36</v>
      </c>
      <c r="G156">
        <v>1</v>
      </c>
      <c r="H156" s="2">
        <v>78.849999999999994</v>
      </c>
      <c r="I156" s="3">
        <v>0.15</v>
      </c>
      <c r="J156" s="2">
        <v>67.02</v>
      </c>
      <c r="K156" t="s">
        <v>56</v>
      </c>
    </row>
    <row r="157" spans="1:11">
      <c r="A157" t="s">
        <v>356</v>
      </c>
      <c r="B157" s="1">
        <v>45995</v>
      </c>
      <c r="C157" t="s">
        <v>118</v>
      </c>
      <c r="D157" t="s">
        <v>30</v>
      </c>
      <c r="E157" t="s">
        <v>21</v>
      </c>
      <c r="F157" t="s">
        <v>71</v>
      </c>
      <c r="G157">
        <v>1</v>
      </c>
      <c r="H157" s="2">
        <v>73.3</v>
      </c>
      <c r="I157" s="3">
        <v>0</v>
      </c>
      <c r="J157" s="2">
        <v>73.3</v>
      </c>
      <c r="K157" t="s">
        <v>61</v>
      </c>
    </row>
    <row r="158" spans="1:11">
      <c r="A158" t="s">
        <v>357</v>
      </c>
      <c r="B158" s="1">
        <v>45876</v>
      </c>
      <c r="C158" t="s">
        <v>358</v>
      </c>
      <c r="D158" t="s">
        <v>18</v>
      </c>
      <c r="E158" t="s">
        <v>29</v>
      </c>
      <c r="F158" t="s">
        <v>92</v>
      </c>
      <c r="G158">
        <v>1</v>
      </c>
      <c r="H158" s="2">
        <v>59.68</v>
      </c>
      <c r="I158" s="3">
        <v>0.1</v>
      </c>
      <c r="J158" s="2">
        <v>53.71</v>
      </c>
      <c r="K158" t="s">
        <v>61</v>
      </c>
    </row>
    <row r="159" spans="1:11">
      <c r="A159" t="s">
        <v>359</v>
      </c>
      <c r="B159" s="1">
        <v>45969</v>
      </c>
      <c r="C159" t="s">
        <v>360</v>
      </c>
      <c r="D159" t="s">
        <v>26</v>
      </c>
      <c r="E159" t="s">
        <v>17</v>
      </c>
      <c r="F159" t="s">
        <v>27</v>
      </c>
      <c r="G159">
        <v>1</v>
      </c>
      <c r="H159" s="2">
        <v>55.5</v>
      </c>
      <c r="I159" s="3">
        <v>0.15</v>
      </c>
      <c r="J159" s="2">
        <v>47.17</v>
      </c>
      <c r="K159" t="s">
        <v>61</v>
      </c>
    </row>
    <row r="160" spans="1:11">
      <c r="A160" t="s">
        <v>361</v>
      </c>
      <c r="B160" s="1">
        <v>45963</v>
      </c>
      <c r="C160" t="s">
        <v>362</v>
      </c>
      <c r="D160" t="s">
        <v>18</v>
      </c>
      <c r="E160" t="s">
        <v>21</v>
      </c>
      <c r="F160" t="s">
        <v>71</v>
      </c>
      <c r="G160">
        <v>1</v>
      </c>
      <c r="H160" s="2">
        <v>70.16</v>
      </c>
      <c r="I160" s="3">
        <v>0.1</v>
      </c>
      <c r="J160" s="2">
        <v>63.14</v>
      </c>
      <c r="K160" t="s">
        <v>56</v>
      </c>
    </row>
    <row r="161" spans="1:11">
      <c r="A161" t="s">
        <v>363</v>
      </c>
      <c r="B161" s="1">
        <v>45991</v>
      </c>
      <c r="C161" t="s">
        <v>364</v>
      </c>
      <c r="D161" t="s">
        <v>30</v>
      </c>
      <c r="E161" t="s">
        <v>21</v>
      </c>
      <c r="F161" t="s">
        <v>71</v>
      </c>
      <c r="G161">
        <v>2</v>
      </c>
      <c r="H161" s="2">
        <v>63.55</v>
      </c>
      <c r="I161" s="3">
        <v>0.1</v>
      </c>
      <c r="J161" s="2">
        <v>114.39</v>
      </c>
      <c r="K161" t="s">
        <v>61</v>
      </c>
    </row>
    <row r="162" spans="1:11">
      <c r="A162" t="s">
        <v>365</v>
      </c>
      <c r="B162" s="1">
        <v>45890</v>
      </c>
      <c r="C162" t="s">
        <v>366</v>
      </c>
      <c r="D162" t="s">
        <v>26</v>
      </c>
      <c r="E162" t="s">
        <v>25</v>
      </c>
      <c r="F162" t="s">
        <v>38</v>
      </c>
      <c r="G162">
        <v>1</v>
      </c>
      <c r="H162" s="2">
        <v>104.88</v>
      </c>
      <c r="I162" s="3">
        <v>0.1</v>
      </c>
      <c r="J162" s="2">
        <v>94.39</v>
      </c>
      <c r="K162" t="s">
        <v>61</v>
      </c>
    </row>
    <row r="163" spans="1:11">
      <c r="A163" t="s">
        <v>367</v>
      </c>
      <c r="B163" s="1">
        <v>45736</v>
      </c>
      <c r="C163" t="s">
        <v>368</v>
      </c>
      <c r="D163" t="s">
        <v>30</v>
      </c>
      <c r="E163" t="s">
        <v>29</v>
      </c>
      <c r="F163" t="s">
        <v>92</v>
      </c>
      <c r="G163">
        <v>3</v>
      </c>
      <c r="H163" s="2">
        <v>47.97</v>
      </c>
      <c r="I163" s="3">
        <v>0</v>
      </c>
      <c r="J163" s="2">
        <v>143.91</v>
      </c>
      <c r="K163" t="s">
        <v>79</v>
      </c>
    </row>
    <row r="164" spans="1:11">
      <c r="A164" t="s">
        <v>369</v>
      </c>
      <c r="B164" s="1">
        <v>45848</v>
      </c>
      <c r="C164" t="s">
        <v>370</v>
      </c>
      <c r="D164" t="s">
        <v>26</v>
      </c>
      <c r="E164" t="s">
        <v>17</v>
      </c>
      <c r="F164" t="s">
        <v>27</v>
      </c>
      <c r="G164">
        <v>2</v>
      </c>
      <c r="H164" s="2">
        <v>61.57</v>
      </c>
      <c r="I164" s="3">
        <v>0.15</v>
      </c>
      <c r="J164" s="2">
        <v>104.67</v>
      </c>
      <c r="K164" t="s">
        <v>56</v>
      </c>
    </row>
    <row r="165" spans="1:11">
      <c r="A165" t="s">
        <v>371</v>
      </c>
      <c r="B165" s="1">
        <v>45720</v>
      </c>
      <c r="C165" t="s">
        <v>372</v>
      </c>
      <c r="D165" t="s">
        <v>26</v>
      </c>
      <c r="E165" t="s">
        <v>25</v>
      </c>
      <c r="F165" t="s">
        <v>38</v>
      </c>
      <c r="G165">
        <v>1</v>
      </c>
      <c r="H165" s="2">
        <v>127.28</v>
      </c>
      <c r="I165" s="3">
        <v>0.1</v>
      </c>
      <c r="J165" s="2">
        <v>114.55</v>
      </c>
      <c r="K165" t="s">
        <v>56</v>
      </c>
    </row>
    <row r="166" spans="1:11">
      <c r="A166" t="s">
        <v>373</v>
      </c>
      <c r="B166" s="1">
        <v>45817</v>
      </c>
      <c r="C166" t="s">
        <v>374</v>
      </c>
      <c r="D166" t="s">
        <v>22</v>
      </c>
      <c r="E166" t="s">
        <v>25</v>
      </c>
      <c r="F166" t="s">
        <v>36</v>
      </c>
      <c r="G166">
        <v>1</v>
      </c>
      <c r="H166" s="2">
        <v>90.55</v>
      </c>
      <c r="I166" s="3">
        <v>0</v>
      </c>
      <c r="J166" s="2">
        <v>90.55</v>
      </c>
      <c r="K166" t="s">
        <v>79</v>
      </c>
    </row>
    <row r="167" spans="1:11">
      <c r="A167" t="s">
        <v>375</v>
      </c>
      <c r="B167" s="1">
        <v>45837</v>
      </c>
      <c r="C167" t="s">
        <v>255</v>
      </c>
      <c r="D167" t="s">
        <v>30</v>
      </c>
      <c r="E167" t="s">
        <v>21</v>
      </c>
      <c r="F167" t="s">
        <v>71</v>
      </c>
      <c r="G167">
        <v>1</v>
      </c>
      <c r="H167" s="2">
        <v>76.010000000000005</v>
      </c>
      <c r="I167" s="3">
        <v>0.15</v>
      </c>
      <c r="J167" s="2">
        <v>64.61</v>
      </c>
      <c r="K167" t="s">
        <v>56</v>
      </c>
    </row>
    <row r="168" spans="1:11">
      <c r="A168" t="s">
        <v>376</v>
      </c>
      <c r="B168" s="1">
        <v>45976</v>
      </c>
      <c r="C168" t="s">
        <v>94</v>
      </c>
      <c r="D168" t="s">
        <v>18</v>
      </c>
      <c r="E168" t="s">
        <v>29</v>
      </c>
      <c r="F168" t="s">
        <v>68</v>
      </c>
      <c r="G168">
        <v>2</v>
      </c>
      <c r="H168" s="2">
        <v>46.52</v>
      </c>
      <c r="I168" s="3">
        <v>0.15</v>
      </c>
      <c r="J168" s="2">
        <v>79.08</v>
      </c>
      <c r="K168" t="s">
        <v>79</v>
      </c>
    </row>
    <row r="169" spans="1:11">
      <c r="A169" t="s">
        <v>377</v>
      </c>
      <c r="B169" s="1">
        <v>45797</v>
      </c>
      <c r="C169" t="s">
        <v>378</v>
      </c>
      <c r="D169" t="s">
        <v>22</v>
      </c>
      <c r="E169" t="s">
        <v>25</v>
      </c>
      <c r="F169" t="s">
        <v>78</v>
      </c>
      <c r="G169">
        <v>2</v>
      </c>
      <c r="H169" s="2">
        <v>45.01</v>
      </c>
      <c r="I169" s="3">
        <v>0.05</v>
      </c>
      <c r="J169" s="2">
        <v>85.52</v>
      </c>
      <c r="K169" t="s">
        <v>79</v>
      </c>
    </row>
    <row r="170" spans="1:11">
      <c r="A170" t="s">
        <v>379</v>
      </c>
      <c r="B170" s="1">
        <v>45947</v>
      </c>
      <c r="C170" t="s">
        <v>344</v>
      </c>
      <c r="D170" t="s">
        <v>22</v>
      </c>
      <c r="E170" t="s">
        <v>29</v>
      </c>
      <c r="F170" t="s">
        <v>92</v>
      </c>
      <c r="G170">
        <v>1</v>
      </c>
      <c r="H170" s="2">
        <v>49.33</v>
      </c>
      <c r="I170" s="3">
        <v>0</v>
      </c>
      <c r="J170" s="2">
        <v>49.33</v>
      </c>
      <c r="K170" t="s">
        <v>61</v>
      </c>
    </row>
    <row r="171" spans="1:11">
      <c r="A171" t="s">
        <v>380</v>
      </c>
      <c r="B171" s="1">
        <v>45872</v>
      </c>
      <c r="C171" t="s">
        <v>381</v>
      </c>
      <c r="D171" t="s">
        <v>18</v>
      </c>
      <c r="E171" t="s">
        <v>21</v>
      </c>
      <c r="F171" t="s">
        <v>40</v>
      </c>
      <c r="G171">
        <v>1</v>
      </c>
      <c r="H171" s="2">
        <v>47.63</v>
      </c>
      <c r="I171" s="3">
        <v>0.05</v>
      </c>
      <c r="J171" s="2">
        <v>45.25</v>
      </c>
      <c r="K171" t="s">
        <v>79</v>
      </c>
    </row>
    <row r="172" spans="1:11">
      <c r="A172" t="s">
        <v>382</v>
      </c>
      <c r="B172" s="1">
        <v>45737</v>
      </c>
      <c r="C172" t="s">
        <v>383</v>
      </c>
      <c r="D172" t="s">
        <v>30</v>
      </c>
      <c r="E172" t="s">
        <v>17</v>
      </c>
      <c r="F172" t="s">
        <v>27</v>
      </c>
      <c r="G172">
        <v>2</v>
      </c>
      <c r="H172" s="2">
        <v>51.12</v>
      </c>
      <c r="I172" s="3">
        <v>0</v>
      </c>
      <c r="J172" s="2">
        <v>102.24</v>
      </c>
      <c r="K172" t="s">
        <v>56</v>
      </c>
    </row>
    <row r="173" spans="1:11">
      <c r="A173" t="s">
        <v>384</v>
      </c>
      <c r="B173" s="1">
        <v>45875</v>
      </c>
      <c r="C173" t="s">
        <v>385</v>
      </c>
      <c r="D173" t="s">
        <v>18</v>
      </c>
      <c r="E173" t="s">
        <v>21</v>
      </c>
      <c r="F173" t="s">
        <v>40</v>
      </c>
      <c r="G173">
        <v>2</v>
      </c>
      <c r="H173" s="2">
        <v>48.35</v>
      </c>
      <c r="I173" s="3">
        <v>0</v>
      </c>
      <c r="J173" s="2">
        <v>96.7</v>
      </c>
      <c r="K173" t="s">
        <v>61</v>
      </c>
    </row>
    <row r="174" spans="1:11">
      <c r="A174" t="s">
        <v>386</v>
      </c>
      <c r="B174" s="1">
        <v>45878</v>
      </c>
      <c r="C174" t="s">
        <v>387</v>
      </c>
      <c r="D174" t="s">
        <v>26</v>
      </c>
      <c r="E174" t="s">
        <v>17</v>
      </c>
      <c r="F174" t="s">
        <v>23</v>
      </c>
      <c r="G174">
        <v>1</v>
      </c>
      <c r="H174" s="2">
        <v>138.53</v>
      </c>
      <c r="I174" s="3">
        <v>0.1</v>
      </c>
      <c r="J174" s="2">
        <v>124.68</v>
      </c>
      <c r="K174" t="s">
        <v>79</v>
      </c>
    </row>
    <row r="175" spans="1:11">
      <c r="A175" t="s">
        <v>388</v>
      </c>
      <c r="B175" s="1">
        <v>45770</v>
      </c>
      <c r="C175" t="s">
        <v>389</v>
      </c>
      <c r="D175" t="s">
        <v>22</v>
      </c>
      <c r="E175" t="s">
        <v>25</v>
      </c>
      <c r="F175" t="s">
        <v>38</v>
      </c>
      <c r="G175">
        <v>4</v>
      </c>
      <c r="H175" s="2">
        <v>103.3</v>
      </c>
      <c r="I175" s="3">
        <v>0</v>
      </c>
      <c r="J175" s="2">
        <v>413.2</v>
      </c>
      <c r="K175" t="s">
        <v>79</v>
      </c>
    </row>
    <row r="176" spans="1:11">
      <c r="A176" t="s">
        <v>390</v>
      </c>
      <c r="B176" s="1">
        <v>45788</v>
      </c>
      <c r="C176" t="s">
        <v>391</v>
      </c>
      <c r="D176" t="s">
        <v>22</v>
      </c>
      <c r="E176" t="s">
        <v>33</v>
      </c>
      <c r="F176" t="s">
        <v>34</v>
      </c>
      <c r="G176">
        <v>1</v>
      </c>
      <c r="H176" s="2">
        <v>24.72</v>
      </c>
      <c r="I176" s="3">
        <v>0.1</v>
      </c>
      <c r="J176" s="2">
        <v>22.25</v>
      </c>
      <c r="K176" t="s">
        <v>61</v>
      </c>
    </row>
    <row r="177" spans="1:11">
      <c r="A177" t="s">
        <v>392</v>
      </c>
      <c r="B177" s="1">
        <v>45930</v>
      </c>
      <c r="C177" t="s">
        <v>393</v>
      </c>
      <c r="D177" t="s">
        <v>30</v>
      </c>
      <c r="E177" t="s">
        <v>25</v>
      </c>
      <c r="F177" t="s">
        <v>78</v>
      </c>
      <c r="G177">
        <v>1</v>
      </c>
      <c r="H177" s="2">
        <v>40.340000000000003</v>
      </c>
      <c r="I177" s="3">
        <v>0.05</v>
      </c>
      <c r="J177" s="2">
        <v>38.32</v>
      </c>
      <c r="K177" t="s">
        <v>56</v>
      </c>
    </row>
    <row r="178" spans="1:11">
      <c r="A178" t="s">
        <v>394</v>
      </c>
      <c r="B178" s="1">
        <v>45679</v>
      </c>
      <c r="C178" t="s">
        <v>395</v>
      </c>
      <c r="D178" t="s">
        <v>30</v>
      </c>
      <c r="E178" t="s">
        <v>25</v>
      </c>
      <c r="F178" t="s">
        <v>38</v>
      </c>
      <c r="G178">
        <v>1</v>
      </c>
      <c r="H178" s="2">
        <v>137.32</v>
      </c>
      <c r="I178" s="3">
        <v>0.05</v>
      </c>
      <c r="J178" s="2">
        <v>130.44999999999999</v>
      </c>
      <c r="K178" t="s">
        <v>56</v>
      </c>
    </row>
    <row r="179" spans="1:11">
      <c r="A179" t="s">
        <v>396</v>
      </c>
      <c r="B179" s="1">
        <v>45865</v>
      </c>
      <c r="C179" t="s">
        <v>397</v>
      </c>
      <c r="D179" t="s">
        <v>26</v>
      </c>
      <c r="E179" t="s">
        <v>25</v>
      </c>
      <c r="F179" t="s">
        <v>78</v>
      </c>
      <c r="G179">
        <v>2</v>
      </c>
      <c r="H179" s="2">
        <v>36.880000000000003</v>
      </c>
      <c r="I179" s="3">
        <v>0.1</v>
      </c>
      <c r="J179" s="2">
        <v>66.38</v>
      </c>
      <c r="K179" t="s">
        <v>79</v>
      </c>
    </row>
    <row r="180" spans="1:11">
      <c r="A180" t="s">
        <v>398</v>
      </c>
      <c r="B180" s="1">
        <v>45974</v>
      </c>
      <c r="C180" t="s">
        <v>399</v>
      </c>
      <c r="D180" t="s">
        <v>18</v>
      </c>
      <c r="E180" t="s">
        <v>21</v>
      </c>
      <c r="F180" t="s">
        <v>40</v>
      </c>
      <c r="G180">
        <v>3</v>
      </c>
      <c r="H180" s="2">
        <v>56.52</v>
      </c>
      <c r="I180" s="3">
        <v>0</v>
      </c>
      <c r="J180" s="2">
        <v>169.56</v>
      </c>
      <c r="K180" t="s">
        <v>79</v>
      </c>
    </row>
    <row r="181" spans="1:11">
      <c r="A181" t="s">
        <v>400</v>
      </c>
      <c r="B181" s="1">
        <v>45881</v>
      </c>
      <c r="C181" t="s">
        <v>401</v>
      </c>
      <c r="D181" t="s">
        <v>22</v>
      </c>
      <c r="E181" t="s">
        <v>29</v>
      </c>
      <c r="F181" t="s">
        <v>68</v>
      </c>
      <c r="G181">
        <v>1</v>
      </c>
      <c r="H181" s="2">
        <v>39.42</v>
      </c>
      <c r="I181" s="3">
        <v>0.05</v>
      </c>
      <c r="J181" s="2">
        <v>37.450000000000003</v>
      </c>
      <c r="K181" t="s">
        <v>61</v>
      </c>
    </row>
    <row r="182" spans="1:11">
      <c r="A182" t="s">
        <v>402</v>
      </c>
      <c r="B182" s="1">
        <v>45744</v>
      </c>
      <c r="C182" t="s">
        <v>403</v>
      </c>
      <c r="D182" t="s">
        <v>26</v>
      </c>
      <c r="E182" t="s">
        <v>17</v>
      </c>
      <c r="F182" t="s">
        <v>23</v>
      </c>
      <c r="G182">
        <v>1</v>
      </c>
      <c r="H182" s="2">
        <v>114.5</v>
      </c>
      <c r="I182" s="3">
        <v>0.15</v>
      </c>
      <c r="J182" s="2">
        <v>97.33</v>
      </c>
      <c r="K182" t="s">
        <v>61</v>
      </c>
    </row>
    <row r="183" spans="1:11">
      <c r="A183" t="s">
        <v>404</v>
      </c>
      <c r="B183" s="1">
        <v>45988</v>
      </c>
      <c r="C183" t="s">
        <v>405</v>
      </c>
      <c r="D183" t="s">
        <v>22</v>
      </c>
      <c r="E183" t="s">
        <v>17</v>
      </c>
      <c r="F183" t="s">
        <v>27</v>
      </c>
      <c r="G183">
        <v>1</v>
      </c>
      <c r="H183" s="2">
        <v>53</v>
      </c>
      <c r="I183" s="3">
        <v>0</v>
      </c>
      <c r="J183" s="2">
        <v>53</v>
      </c>
      <c r="K183" t="s">
        <v>56</v>
      </c>
    </row>
    <row r="184" spans="1:11">
      <c r="A184" t="s">
        <v>406</v>
      </c>
      <c r="B184" s="1">
        <v>45696</v>
      </c>
      <c r="C184" t="s">
        <v>207</v>
      </c>
      <c r="D184" t="s">
        <v>30</v>
      </c>
      <c r="E184" t="s">
        <v>17</v>
      </c>
      <c r="F184" t="s">
        <v>27</v>
      </c>
      <c r="G184">
        <v>4</v>
      </c>
      <c r="H184" s="2">
        <v>62.38</v>
      </c>
      <c r="I184" s="3">
        <v>0.1</v>
      </c>
      <c r="J184" s="2">
        <v>224.57</v>
      </c>
      <c r="K184" t="s">
        <v>56</v>
      </c>
    </row>
    <row r="185" spans="1:11">
      <c r="A185" t="s">
        <v>407</v>
      </c>
      <c r="B185" s="1">
        <v>45947</v>
      </c>
      <c r="C185" t="s">
        <v>408</v>
      </c>
      <c r="D185" t="s">
        <v>30</v>
      </c>
      <c r="E185" t="s">
        <v>29</v>
      </c>
      <c r="F185" t="s">
        <v>92</v>
      </c>
      <c r="G185">
        <v>2</v>
      </c>
      <c r="H185" s="2">
        <v>58.09</v>
      </c>
      <c r="I185" s="3">
        <v>0.05</v>
      </c>
      <c r="J185" s="2">
        <v>110.37</v>
      </c>
      <c r="K185" t="s">
        <v>79</v>
      </c>
    </row>
    <row r="186" spans="1:11">
      <c r="A186" t="s">
        <v>409</v>
      </c>
      <c r="B186" s="1">
        <v>45898</v>
      </c>
      <c r="C186" t="s">
        <v>410</v>
      </c>
      <c r="D186" t="s">
        <v>26</v>
      </c>
      <c r="E186" t="s">
        <v>21</v>
      </c>
      <c r="F186" t="s">
        <v>40</v>
      </c>
      <c r="G186">
        <v>2</v>
      </c>
      <c r="H186" s="2">
        <v>54.53</v>
      </c>
      <c r="I186" s="3">
        <v>0.15</v>
      </c>
      <c r="J186" s="2">
        <v>92.7</v>
      </c>
      <c r="K186" t="s">
        <v>56</v>
      </c>
    </row>
    <row r="187" spans="1:11">
      <c r="A187" t="s">
        <v>411</v>
      </c>
      <c r="B187" s="1">
        <v>45695</v>
      </c>
      <c r="C187" t="s">
        <v>412</v>
      </c>
      <c r="D187" t="s">
        <v>18</v>
      </c>
      <c r="E187" t="s">
        <v>33</v>
      </c>
      <c r="F187" t="s">
        <v>34</v>
      </c>
      <c r="G187">
        <v>1</v>
      </c>
      <c r="H187" s="2">
        <v>25.01</v>
      </c>
      <c r="I187" s="3">
        <v>0.05</v>
      </c>
      <c r="J187" s="2">
        <v>23.76</v>
      </c>
      <c r="K187" t="s">
        <v>56</v>
      </c>
    </row>
    <row r="188" spans="1:11">
      <c r="A188" t="s">
        <v>413</v>
      </c>
      <c r="B188" s="1">
        <v>45704</v>
      </c>
      <c r="C188" t="s">
        <v>414</v>
      </c>
      <c r="D188" t="s">
        <v>18</v>
      </c>
      <c r="E188" t="s">
        <v>29</v>
      </c>
      <c r="F188" t="s">
        <v>68</v>
      </c>
      <c r="G188">
        <v>2</v>
      </c>
      <c r="H188" s="2">
        <v>43.96</v>
      </c>
      <c r="I188" s="3">
        <v>0.15</v>
      </c>
      <c r="J188" s="2">
        <v>74.73</v>
      </c>
      <c r="K188" t="s">
        <v>61</v>
      </c>
    </row>
    <row r="189" spans="1:11">
      <c r="A189" t="s">
        <v>415</v>
      </c>
      <c r="B189" s="1">
        <v>45950</v>
      </c>
      <c r="C189" t="s">
        <v>408</v>
      </c>
      <c r="D189" t="s">
        <v>18</v>
      </c>
      <c r="E189" t="s">
        <v>29</v>
      </c>
      <c r="F189" t="s">
        <v>92</v>
      </c>
      <c r="G189">
        <v>1</v>
      </c>
      <c r="H189" s="2">
        <v>57.73</v>
      </c>
      <c r="I189" s="3">
        <v>0.15</v>
      </c>
      <c r="J189" s="2">
        <v>49.07</v>
      </c>
      <c r="K189" t="s">
        <v>61</v>
      </c>
    </row>
    <row r="190" spans="1:11">
      <c r="A190" t="s">
        <v>416</v>
      </c>
      <c r="B190" s="1">
        <v>45710</v>
      </c>
      <c r="C190" t="s">
        <v>417</v>
      </c>
      <c r="D190" t="s">
        <v>22</v>
      </c>
      <c r="E190" t="s">
        <v>25</v>
      </c>
      <c r="F190" t="s">
        <v>36</v>
      </c>
      <c r="G190">
        <v>4</v>
      </c>
      <c r="H190" s="2">
        <v>78.13</v>
      </c>
      <c r="I190" s="3">
        <v>0</v>
      </c>
      <c r="J190" s="2">
        <v>312.52</v>
      </c>
      <c r="K190" t="s">
        <v>56</v>
      </c>
    </row>
    <row r="191" spans="1:11">
      <c r="A191" t="s">
        <v>418</v>
      </c>
      <c r="B191" s="1">
        <v>45882</v>
      </c>
      <c r="C191" t="s">
        <v>419</v>
      </c>
      <c r="D191" t="s">
        <v>26</v>
      </c>
      <c r="E191" t="s">
        <v>21</v>
      </c>
      <c r="F191" t="s">
        <v>40</v>
      </c>
      <c r="G191">
        <v>1</v>
      </c>
      <c r="H191" s="2">
        <v>51.51</v>
      </c>
      <c r="I191" s="3">
        <v>0.05</v>
      </c>
      <c r="J191" s="2">
        <v>48.93</v>
      </c>
      <c r="K191" t="s">
        <v>61</v>
      </c>
    </row>
    <row r="192" spans="1:11">
      <c r="A192" t="s">
        <v>420</v>
      </c>
      <c r="B192" s="1">
        <v>45867</v>
      </c>
      <c r="C192" t="s">
        <v>421</v>
      </c>
      <c r="D192" t="s">
        <v>26</v>
      </c>
      <c r="E192" t="s">
        <v>25</v>
      </c>
      <c r="F192" t="s">
        <v>36</v>
      </c>
      <c r="G192">
        <v>2</v>
      </c>
      <c r="H192" s="2">
        <v>77.19</v>
      </c>
      <c r="I192" s="3">
        <v>0.05</v>
      </c>
      <c r="J192" s="2">
        <v>146.66</v>
      </c>
      <c r="K192" t="s">
        <v>79</v>
      </c>
    </row>
    <row r="193" spans="1:11">
      <c r="A193" t="s">
        <v>422</v>
      </c>
      <c r="B193" s="1">
        <v>45943</v>
      </c>
      <c r="C193" t="s">
        <v>423</v>
      </c>
      <c r="D193" t="s">
        <v>26</v>
      </c>
      <c r="E193" t="s">
        <v>29</v>
      </c>
      <c r="F193" t="s">
        <v>92</v>
      </c>
      <c r="G193">
        <v>1</v>
      </c>
      <c r="H193" s="2">
        <v>51.32</v>
      </c>
      <c r="I193" s="3">
        <v>0.15</v>
      </c>
      <c r="J193" s="2">
        <v>43.62</v>
      </c>
      <c r="K193" t="s">
        <v>79</v>
      </c>
    </row>
    <row r="194" spans="1:11">
      <c r="A194" t="s">
        <v>424</v>
      </c>
      <c r="B194" s="1">
        <v>45956</v>
      </c>
      <c r="C194" t="s">
        <v>425</v>
      </c>
      <c r="D194" t="s">
        <v>18</v>
      </c>
      <c r="E194" t="s">
        <v>29</v>
      </c>
      <c r="F194" t="s">
        <v>92</v>
      </c>
      <c r="G194">
        <v>1</v>
      </c>
      <c r="H194" s="2">
        <v>53.1</v>
      </c>
      <c r="I194" s="3">
        <v>0.1</v>
      </c>
      <c r="J194" s="2">
        <v>47.79</v>
      </c>
      <c r="K194" t="s">
        <v>61</v>
      </c>
    </row>
    <row r="195" spans="1:11">
      <c r="A195" t="s">
        <v>426</v>
      </c>
      <c r="B195" s="1">
        <v>45944</v>
      </c>
      <c r="C195" t="s">
        <v>387</v>
      </c>
      <c r="D195" t="s">
        <v>18</v>
      </c>
      <c r="E195" t="s">
        <v>25</v>
      </c>
      <c r="F195" t="s">
        <v>38</v>
      </c>
      <c r="G195">
        <v>2</v>
      </c>
      <c r="H195" s="2">
        <v>114.05</v>
      </c>
      <c r="I195" s="3">
        <v>0</v>
      </c>
      <c r="J195" s="2">
        <v>228.1</v>
      </c>
      <c r="K195" t="s">
        <v>56</v>
      </c>
    </row>
    <row r="196" spans="1:11">
      <c r="A196" t="s">
        <v>427</v>
      </c>
      <c r="B196" s="1">
        <v>46001</v>
      </c>
      <c r="C196" t="s">
        <v>428</v>
      </c>
      <c r="D196" t="s">
        <v>22</v>
      </c>
      <c r="E196" t="s">
        <v>25</v>
      </c>
      <c r="F196" t="s">
        <v>38</v>
      </c>
      <c r="G196">
        <v>1</v>
      </c>
      <c r="H196" s="2">
        <v>101.87</v>
      </c>
      <c r="I196" s="3">
        <v>0.05</v>
      </c>
      <c r="J196" s="2">
        <v>96.78</v>
      </c>
      <c r="K196" t="s">
        <v>61</v>
      </c>
    </row>
    <row r="197" spans="1:11">
      <c r="A197" t="s">
        <v>429</v>
      </c>
      <c r="B197" s="1">
        <v>45906</v>
      </c>
      <c r="C197" t="s">
        <v>174</v>
      </c>
      <c r="D197" t="s">
        <v>18</v>
      </c>
      <c r="E197" t="s">
        <v>33</v>
      </c>
      <c r="F197" t="s">
        <v>31</v>
      </c>
      <c r="G197">
        <v>1</v>
      </c>
      <c r="H197" s="2">
        <v>66.260000000000005</v>
      </c>
      <c r="I197" s="3">
        <v>0</v>
      </c>
      <c r="J197" s="2">
        <v>66.260000000000005</v>
      </c>
      <c r="K197" t="s">
        <v>56</v>
      </c>
    </row>
    <row r="198" spans="1:11">
      <c r="A198" t="s">
        <v>430</v>
      </c>
      <c r="B198" s="1">
        <v>45934</v>
      </c>
      <c r="C198" t="s">
        <v>137</v>
      </c>
      <c r="D198" t="s">
        <v>30</v>
      </c>
      <c r="E198" t="s">
        <v>25</v>
      </c>
      <c r="F198" t="s">
        <v>78</v>
      </c>
      <c r="G198">
        <v>3</v>
      </c>
      <c r="H198" s="2">
        <v>33.64</v>
      </c>
      <c r="I198" s="3">
        <v>0.05</v>
      </c>
      <c r="J198" s="2">
        <v>95.87</v>
      </c>
      <c r="K198" t="s">
        <v>79</v>
      </c>
    </row>
    <row r="199" spans="1:11">
      <c r="A199" t="s">
        <v>431</v>
      </c>
      <c r="B199" s="1">
        <v>45741</v>
      </c>
      <c r="C199" t="s">
        <v>108</v>
      </c>
      <c r="D199" t="s">
        <v>18</v>
      </c>
      <c r="E199" t="s">
        <v>17</v>
      </c>
      <c r="F199" t="s">
        <v>27</v>
      </c>
      <c r="G199">
        <v>3</v>
      </c>
      <c r="H199" s="2">
        <v>65.16</v>
      </c>
      <c r="I199" s="3">
        <v>0</v>
      </c>
      <c r="J199" s="2">
        <v>195.48</v>
      </c>
      <c r="K199" t="s">
        <v>61</v>
      </c>
    </row>
    <row r="200" spans="1:11">
      <c r="A200" t="s">
        <v>432</v>
      </c>
      <c r="B200" s="1">
        <v>45844</v>
      </c>
      <c r="C200" t="s">
        <v>433</v>
      </c>
      <c r="D200" t="s">
        <v>30</v>
      </c>
      <c r="E200" t="s">
        <v>29</v>
      </c>
      <c r="F200" t="s">
        <v>92</v>
      </c>
      <c r="G200">
        <v>2</v>
      </c>
      <c r="H200" s="2">
        <v>64.349999999999994</v>
      </c>
      <c r="I200" s="3">
        <v>0.15</v>
      </c>
      <c r="J200" s="2">
        <v>109.39</v>
      </c>
      <c r="K200" t="s">
        <v>79</v>
      </c>
    </row>
    <row r="201" spans="1:11">
      <c r="A201" t="s">
        <v>434</v>
      </c>
      <c r="B201" s="1">
        <v>45931</v>
      </c>
      <c r="C201" t="s">
        <v>403</v>
      </c>
      <c r="D201" t="s">
        <v>26</v>
      </c>
      <c r="E201" t="s">
        <v>33</v>
      </c>
      <c r="F201" t="s">
        <v>31</v>
      </c>
      <c r="G201">
        <v>1</v>
      </c>
      <c r="H201" s="2">
        <v>82.65</v>
      </c>
      <c r="I201" s="3">
        <v>0.1</v>
      </c>
      <c r="J201" s="2">
        <v>74.39</v>
      </c>
      <c r="K201" t="s">
        <v>56</v>
      </c>
    </row>
    <row r="202" spans="1:11">
      <c r="A202" t="s">
        <v>435</v>
      </c>
      <c r="B202" s="1">
        <v>45950</v>
      </c>
      <c r="C202" t="s">
        <v>436</v>
      </c>
      <c r="D202" t="s">
        <v>30</v>
      </c>
      <c r="E202" t="s">
        <v>21</v>
      </c>
      <c r="F202" t="s">
        <v>40</v>
      </c>
      <c r="G202">
        <v>1</v>
      </c>
      <c r="H202" s="2">
        <v>46.21</v>
      </c>
      <c r="I202" s="3">
        <v>0.1</v>
      </c>
      <c r="J202" s="2">
        <v>41.59</v>
      </c>
      <c r="K202" t="s">
        <v>79</v>
      </c>
    </row>
    <row r="203" spans="1:11">
      <c r="A203" t="s">
        <v>437</v>
      </c>
      <c r="B203" s="1">
        <v>45760</v>
      </c>
      <c r="C203" t="s">
        <v>438</v>
      </c>
      <c r="D203" t="s">
        <v>18</v>
      </c>
      <c r="E203" t="s">
        <v>29</v>
      </c>
      <c r="F203" t="s">
        <v>68</v>
      </c>
      <c r="G203">
        <v>1</v>
      </c>
      <c r="H203" s="2">
        <v>41.96</v>
      </c>
      <c r="I203" s="3">
        <v>0.1</v>
      </c>
      <c r="J203" s="2">
        <v>37.76</v>
      </c>
      <c r="K203" t="s">
        <v>56</v>
      </c>
    </row>
    <row r="204" spans="1:11">
      <c r="A204" t="s">
        <v>439</v>
      </c>
      <c r="B204" s="1">
        <v>45922</v>
      </c>
      <c r="C204" t="s">
        <v>440</v>
      </c>
      <c r="D204" t="s">
        <v>22</v>
      </c>
      <c r="E204" t="s">
        <v>17</v>
      </c>
      <c r="F204" t="s">
        <v>23</v>
      </c>
      <c r="G204">
        <v>1</v>
      </c>
      <c r="H204" s="2">
        <v>142.13999999999999</v>
      </c>
      <c r="I204" s="3">
        <v>0.05</v>
      </c>
      <c r="J204" s="2">
        <v>135.03</v>
      </c>
      <c r="K204" t="s">
        <v>61</v>
      </c>
    </row>
    <row r="205" spans="1:11">
      <c r="A205" t="s">
        <v>441</v>
      </c>
      <c r="B205" s="1">
        <v>45704</v>
      </c>
      <c r="C205" t="s">
        <v>442</v>
      </c>
      <c r="D205" t="s">
        <v>18</v>
      </c>
      <c r="E205" t="s">
        <v>33</v>
      </c>
      <c r="F205" t="s">
        <v>31</v>
      </c>
      <c r="G205">
        <v>2</v>
      </c>
      <c r="H205" s="2">
        <v>84.5</v>
      </c>
      <c r="I205" s="3">
        <v>0</v>
      </c>
      <c r="J205" s="2">
        <v>169</v>
      </c>
      <c r="K205" t="s">
        <v>61</v>
      </c>
    </row>
    <row r="206" spans="1:11">
      <c r="A206" t="s">
        <v>443</v>
      </c>
      <c r="B206" s="1">
        <v>45915</v>
      </c>
      <c r="C206" t="s">
        <v>213</v>
      </c>
      <c r="D206" t="s">
        <v>18</v>
      </c>
      <c r="E206" t="s">
        <v>25</v>
      </c>
      <c r="F206" t="s">
        <v>36</v>
      </c>
      <c r="G206">
        <v>1</v>
      </c>
      <c r="H206" s="2">
        <v>104.86</v>
      </c>
      <c r="I206" s="3">
        <v>0.05</v>
      </c>
      <c r="J206" s="2">
        <v>99.62</v>
      </c>
      <c r="K206" t="s">
        <v>61</v>
      </c>
    </row>
    <row r="207" spans="1:11">
      <c r="A207" t="s">
        <v>444</v>
      </c>
      <c r="B207" s="1">
        <v>45708</v>
      </c>
      <c r="C207" t="s">
        <v>445</v>
      </c>
      <c r="D207" t="s">
        <v>26</v>
      </c>
      <c r="E207" t="s">
        <v>25</v>
      </c>
      <c r="F207" t="s">
        <v>78</v>
      </c>
      <c r="G207">
        <v>2</v>
      </c>
      <c r="H207" s="2">
        <v>43.34</v>
      </c>
      <c r="I207" s="3">
        <v>0</v>
      </c>
      <c r="J207" s="2">
        <v>86.68</v>
      </c>
      <c r="K207" t="s">
        <v>61</v>
      </c>
    </row>
    <row r="208" spans="1:11">
      <c r="A208" t="s">
        <v>446</v>
      </c>
      <c r="B208" s="1">
        <v>46014</v>
      </c>
      <c r="C208" t="s">
        <v>447</v>
      </c>
      <c r="D208" t="s">
        <v>18</v>
      </c>
      <c r="E208" t="s">
        <v>17</v>
      </c>
      <c r="F208" t="s">
        <v>27</v>
      </c>
      <c r="G208">
        <v>2</v>
      </c>
      <c r="H208" s="2">
        <v>59.28</v>
      </c>
      <c r="I208" s="3">
        <v>0.15</v>
      </c>
      <c r="J208" s="2">
        <v>100.78</v>
      </c>
      <c r="K208" t="s">
        <v>79</v>
      </c>
    </row>
    <row r="209" spans="1:11">
      <c r="A209" t="s">
        <v>448</v>
      </c>
      <c r="B209" s="1">
        <v>45789</v>
      </c>
      <c r="C209" t="s">
        <v>449</v>
      </c>
      <c r="D209" t="s">
        <v>30</v>
      </c>
      <c r="E209" t="s">
        <v>33</v>
      </c>
      <c r="F209" t="s">
        <v>31</v>
      </c>
      <c r="G209">
        <v>3</v>
      </c>
      <c r="H209" s="2">
        <v>76.3</v>
      </c>
      <c r="I209" s="3">
        <v>0.15</v>
      </c>
      <c r="J209" s="2">
        <v>194.56</v>
      </c>
      <c r="K209" t="s">
        <v>79</v>
      </c>
    </row>
    <row r="210" spans="1:11">
      <c r="A210" t="s">
        <v>450</v>
      </c>
      <c r="B210" s="1">
        <v>45805</v>
      </c>
      <c r="C210" t="s">
        <v>451</v>
      </c>
      <c r="D210" t="s">
        <v>18</v>
      </c>
      <c r="E210" t="s">
        <v>33</v>
      </c>
      <c r="F210" t="s">
        <v>31</v>
      </c>
      <c r="G210">
        <v>1</v>
      </c>
      <c r="H210" s="2">
        <v>64.069999999999993</v>
      </c>
      <c r="I210" s="3">
        <v>0.1</v>
      </c>
      <c r="J210" s="2">
        <v>57.66</v>
      </c>
      <c r="K210" t="s">
        <v>79</v>
      </c>
    </row>
    <row r="211" spans="1:11">
      <c r="A211" t="s">
        <v>452</v>
      </c>
      <c r="B211" s="1">
        <v>45913</v>
      </c>
      <c r="C211" t="s">
        <v>453</v>
      </c>
      <c r="D211" t="s">
        <v>22</v>
      </c>
      <c r="E211" t="s">
        <v>29</v>
      </c>
      <c r="F211" t="s">
        <v>68</v>
      </c>
      <c r="G211">
        <v>1</v>
      </c>
      <c r="H211" s="2">
        <v>47.63</v>
      </c>
      <c r="I211" s="3">
        <v>0.15</v>
      </c>
      <c r="J211" s="2">
        <v>40.49</v>
      </c>
      <c r="K211" t="s">
        <v>61</v>
      </c>
    </row>
    <row r="212" spans="1:11">
      <c r="A212" t="s">
        <v>454</v>
      </c>
      <c r="B212" s="1">
        <v>45877</v>
      </c>
      <c r="C212" t="s">
        <v>455</v>
      </c>
      <c r="D212" t="s">
        <v>18</v>
      </c>
      <c r="E212" t="s">
        <v>17</v>
      </c>
      <c r="F212" t="s">
        <v>19</v>
      </c>
      <c r="G212">
        <v>2</v>
      </c>
      <c r="H212" s="2">
        <v>73.42</v>
      </c>
      <c r="I212" s="3">
        <v>0.1</v>
      </c>
      <c r="J212" s="2">
        <v>132.16</v>
      </c>
      <c r="K212" t="s">
        <v>56</v>
      </c>
    </row>
    <row r="213" spans="1:11">
      <c r="A213" t="s">
        <v>456</v>
      </c>
      <c r="B213" s="1">
        <v>45842</v>
      </c>
      <c r="C213" t="s">
        <v>414</v>
      </c>
      <c r="D213" t="s">
        <v>18</v>
      </c>
      <c r="E213" t="s">
        <v>17</v>
      </c>
      <c r="F213" t="s">
        <v>23</v>
      </c>
      <c r="G213">
        <v>4</v>
      </c>
      <c r="H213" s="2">
        <v>132.81</v>
      </c>
      <c r="I213" s="3">
        <v>0.15</v>
      </c>
      <c r="J213" s="2">
        <v>451.55</v>
      </c>
      <c r="K213" t="s">
        <v>61</v>
      </c>
    </row>
    <row r="214" spans="1:11">
      <c r="A214" t="s">
        <v>457</v>
      </c>
      <c r="B214" s="1">
        <v>45898</v>
      </c>
      <c r="C214" t="s">
        <v>458</v>
      </c>
      <c r="D214" t="s">
        <v>26</v>
      </c>
      <c r="E214" t="s">
        <v>17</v>
      </c>
      <c r="F214" t="s">
        <v>19</v>
      </c>
      <c r="G214">
        <v>2</v>
      </c>
      <c r="H214" s="2">
        <v>92.73</v>
      </c>
      <c r="I214" s="3">
        <v>0.05</v>
      </c>
      <c r="J214" s="2">
        <v>176.19</v>
      </c>
      <c r="K214" t="s">
        <v>79</v>
      </c>
    </row>
    <row r="215" spans="1:11">
      <c r="A215" t="s">
        <v>459</v>
      </c>
      <c r="B215" s="1">
        <v>45834</v>
      </c>
      <c r="C215" t="s">
        <v>460</v>
      </c>
      <c r="D215" t="s">
        <v>22</v>
      </c>
      <c r="E215" t="s">
        <v>33</v>
      </c>
      <c r="F215" t="s">
        <v>31</v>
      </c>
      <c r="G215">
        <v>2</v>
      </c>
      <c r="H215" s="2">
        <v>78.239999999999995</v>
      </c>
      <c r="I215" s="3">
        <v>0.15</v>
      </c>
      <c r="J215" s="2">
        <v>133.01</v>
      </c>
      <c r="K215" t="s">
        <v>79</v>
      </c>
    </row>
    <row r="216" spans="1:11">
      <c r="A216" t="s">
        <v>461</v>
      </c>
      <c r="B216" s="1">
        <v>45838</v>
      </c>
      <c r="C216" t="s">
        <v>462</v>
      </c>
      <c r="D216" t="s">
        <v>22</v>
      </c>
      <c r="E216" t="s">
        <v>21</v>
      </c>
      <c r="F216" t="s">
        <v>71</v>
      </c>
      <c r="G216">
        <v>1</v>
      </c>
      <c r="H216" s="2">
        <v>73.290000000000006</v>
      </c>
      <c r="I216" s="3">
        <v>0.1</v>
      </c>
      <c r="J216" s="2">
        <v>65.959999999999994</v>
      </c>
      <c r="K216" t="s">
        <v>79</v>
      </c>
    </row>
    <row r="217" spans="1:11">
      <c r="A217" t="s">
        <v>463</v>
      </c>
      <c r="B217" s="1">
        <v>45690</v>
      </c>
      <c r="C217" t="s">
        <v>464</v>
      </c>
      <c r="D217" t="s">
        <v>18</v>
      </c>
      <c r="E217" t="s">
        <v>25</v>
      </c>
      <c r="F217" t="s">
        <v>78</v>
      </c>
      <c r="G217">
        <v>2</v>
      </c>
      <c r="H217" s="2">
        <v>39.04</v>
      </c>
      <c r="I217" s="3">
        <v>0.05</v>
      </c>
      <c r="J217" s="2">
        <v>74.180000000000007</v>
      </c>
      <c r="K217" t="s">
        <v>79</v>
      </c>
    </row>
    <row r="218" spans="1:11">
      <c r="A218" t="s">
        <v>465</v>
      </c>
      <c r="B218" s="1">
        <v>45679</v>
      </c>
      <c r="C218" t="s">
        <v>298</v>
      </c>
      <c r="D218" t="s">
        <v>26</v>
      </c>
      <c r="E218" t="s">
        <v>25</v>
      </c>
      <c r="F218" t="s">
        <v>36</v>
      </c>
      <c r="G218">
        <v>3</v>
      </c>
      <c r="H218" s="2">
        <v>90.79</v>
      </c>
      <c r="I218" s="3">
        <v>0.15</v>
      </c>
      <c r="J218" s="2">
        <v>231.51</v>
      </c>
      <c r="K218" t="s">
        <v>79</v>
      </c>
    </row>
    <row r="219" spans="1:11">
      <c r="A219" t="s">
        <v>466</v>
      </c>
      <c r="B219" s="1">
        <v>45989</v>
      </c>
      <c r="C219" t="s">
        <v>467</v>
      </c>
      <c r="D219" t="s">
        <v>26</v>
      </c>
      <c r="E219" t="s">
        <v>33</v>
      </c>
      <c r="F219" t="s">
        <v>31</v>
      </c>
      <c r="G219">
        <v>1</v>
      </c>
      <c r="H219" s="2">
        <v>83.95</v>
      </c>
      <c r="I219" s="3">
        <v>0</v>
      </c>
      <c r="J219" s="2">
        <v>83.95</v>
      </c>
      <c r="K219" t="s">
        <v>79</v>
      </c>
    </row>
    <row r="220" spans="1:11">
      <c r="A220" t="s">
        <v>468</v>
      </c>
      <c r="B220" s="1">
        <v>45846</v>
      </c>
      <c r="C220" t="s">
        <v>401</v>
      </c>
      <c r="D220" t="s">
        <v>22</v>
      </c>
      <c r="E220" t="s">
        <v>25</v>
      </c>
      <c r="F220" t="s">
        <v>38</v>
      </c>
      <c r="G220">
        <v>3</v>
      </c>
      <c r="H220" s="2">
        <v>130.34</v>
      </c>
      <c r="I220" s="3">
        <v>0.1</v>
      </c>
      <c r="J220" s="2">
        <v>351.92</v>
      </c>
      <c r="K220" t="s">
        <v>61</v>
      </c>
    </row>
    <row r="221" spans="1:11">
      <c r="A221" t="s">
        <v>469</v>
      </c>
      <c r="B221" s="1">
        <v>46012</v>
      </c>
      <c r="C221" t="s">
        <v>470</v>
      </c>
      <c r="D221" t="s">
        <v>30</v>
      </c>
      <c r="E221" t="s">
        <v>21</v>
      </c>
      <c r="F221" t="s">
        <v>40</v>
      </c>
      <c r="G221">
        <v>1</v>
      </c>
      <c r="H221" s="2">
        <v>54.54</v>
      </c>
      <c r="I221" s="3">
        <v>0.05</v>
      </c>
      <c r="J221" s="2">
        <v>51.81</v>
      </c>
      <c r="K221" t="s">
        <v>79</v>
      </c>
    </row>
    <row r="222" spans="1:11">
      <c r="A222" t="s">
        <v>471</v>
      </c>
      <c r="B222" s="1">
        <v>45878</v>
      </c>
      <c r="C222" t="s">
        <v>472</v>
      </c>
      <c r="D222" t="s">
        <v>18</v>
      </c>
      <c r="E222" t="s">
        <v>29</v>
      </c>
      <c r="F222" t="s">
        <v>68</v>
      </c>
      <c r="G222">
        <v>4</v>
      </c>
      <c r="H222" s="2">
        <v>40.93</v>
      </c>
      <c r="I222" s="3">
        <v>0.05</v>
      </c>
      <c r="J222" s="2">
        <v>155.53</v>
      </c>
      <c r="K222" t="s">
        <v>79</v>
      </c>
    </row>
    <row r="223" spans="1:11">
      <c r="A223" t="s">
        <v>473</v>
      </c>
      <c r="B223" s="1">
        <v>45825</v>
      </c>
      <c r="C223" t="s">
        <v>124</v>
      </c>
      <c r="D223" t="s">
        <v>30</v>
      </c>
      <c r="E223" t="s">
        <v>29</v>
      </c>
      <c r="F223" t="s">
        <v>92</v>
      </c>
      <c r="G223">
        <v>1</v>
      </c>
      <c r="H223" s="2">
        <v>54.84</v>
      </c>
      <c r="I223" s="3">
        <v>0.1</v>
      </c>
      <c r="J223" s="2">
        <v>49.36</v>
      </c>
      <c r="K223" t="s">
        <v>61</v>
      </c>
    </row>
    <row r="224" spans="1:11">
      <c r="A224" t="s">
        <v>474</v>
      </c>
      <c r="B224" s="1">
        <v>45886</v>
      </c>
      <c r="C224" t="s">
        <v>475</v>
      </c>
      <c r="D224" t="s">
        <v>26</v>
      </c>
      <c r="E224" t="s">
        <v>17</v>
      </c>
      <c r="F224" t="s">
        <v>19</v>
      </c>
      <c r="G224">
        <v>2</v>
      </c>
      <c r="H224" s="2">
        <v>90.92</v>
      </c>
      <c r="I224" s="3">
        <v>0.15</v>
      </c>
      <c r="J224" s="2">
        <v>154.56</v>
      </c>
      <c r="K224" t="s">
        <v>56</v>
      </c>
    </row>
    <row r="225" spans="1:11">
      <c r="A225" t="s">
        <v>476</v>
      </c>
      <c r="B225" s="1">
        <v>45687</v>
      </c>
      <c r="C225" t="s">
        <v>477</v>
      </c>
      <c r="D225" t="s">
        <v>18</v>
      </c>
      <c r="E225" t="s">
        <v>17</v>
      </c>
      <c r="F225" t="s">
        <v>23</v>
      </c>
      <c r="G225">
        <v>2</v>
      </c>
      <c r="H225" s="2">
        <v>126.94</v>
      </c>
      <c r="I225" s="3">
        <v>0.15</v>
      </c>
      <c r="J225" s="2">
        <v>215.8</v>
      </c>
      <c r="K225" t="s">
        <v>79</v>
      </c>
    </row>
    <row r="226" spans="1:11">
      <c r="A226" t="s">
        <v>478</v>
      </c>
      <c r="B226" s="1">
        <v>45969</v>
      </c>
      <c r="C226" t="s">
        <v>479</v>
      </c>
      <c r="D226" t="s">
        <v>26</v>
      </c>
      <c r="E226" t="s">
        <v>29</v>
      </c>
      <c r="F226" t="s">
        <v>92</v>
      </c>
      <c r="G226">
        <v>2</v>
      </c>
      <c r="H226" s="2">
        <v>47.38</v>
      </c>
      <c r="I226" s="3">
        <v>0</v>
      </c>
      <c r="J226" s="2">
        <v>94.76</v>
      </c>
      <c r="K226" t="s">
        <v>61</v>
      </c>
    </row>
    <row r="227" spans="1:11">
      <c r="A227" t="s">
        <v>480</v>
      </c>
      <c r="B227" s="1">
        <v>45854</v>
      </c>
      <c r="C227" t="s">
        <v>481</v>
      </c>
      <c r="D227" t="s">
        <v>26</v>
      </c>
      <c r="E227" t="s">
        <v>29</v>
      </c>
      <c r="F227" t="s">
        <v>68</v>
      </c>
      <c r="G227">
        <v>1</v>
      </c>
      <c r="H227" s="2">
        <v>40.53</v>
      </c>
      <c r="I227" s="3">
        <v>0.1</v>
      </c>
      <c r="J227" s="2">
        <v>36.479999999999997</v>
      </c>
      <c r="K227" t="s">
        <v>61</v>
      </c>
    </row>
    <row r="228" spans="1:11">
      <c r="A228" t="s">
        <v>482</v>
      </c>
      <c r="B228" s="1">
        <v>45697</v>
      </c>
      <c r="C228" t="s">
        <v>229</v>
      </c>
      <c r="D228" t="s">
        <v>22</v>
      </c>
      <c r="E228" t="s">
        <v>29</v>
      </c>
      <c r="F228" t="s">
        <v>68</v>
      </c>
      <c r="G228">
        <v>1</v>
      </c>
      <c r="H228" s="2">
        <v>43.7</v>
      </c>
      <c r="I228" s="3">
        <v>0.05</v>
      </c>
      <c r="J228" s="2">
        <v>41.52</v>
      </c>
      <c r="K228" t="s">
        <v>79</v>
      </c>
    </row>
    <row r="229" spans="1:11">
      <c r="A229" t="s">
        <v>483</v>
      </c>
      <c r="B229" s="1">
        <v>45671</v>
      </c>
      <c r="C229" t="s">
        <v>484</v>
      </c>
      <c r="D229" t="s">
        <v>26</v>
      </c>
      <c r="E229" t="s">
        <v>25</v>
      </c>
      <c r="F229" t="s">
        <v>78</v>
      </c>
      <c r="G229">
        <v>1</v>
      </c>
      <c r="H229" s="2">
        <v>39.81</v>
      </c>
      <c r="I229" s="3">
        <v>0.15</v>
      </c>
      <c r="J229" s="2">
        <v>33.840000000000003</v>
      </c>
      <c r="K229" t="s">
        <v>61</v>
      </c>
    </row>
    <row r="230" spans="1:11">
      <c r="A230" t="s">
        <v>485</v>
      </c>
      <c r="B230" s="1">
        <v>46018</v>
      </c>
      <c r="C230" t="s">
        <v>486</v>
      </c>
      <c r="D230" t="s">
        <v>18</v>
      </c>
      <c r="E230" t="s">
        <v>21</v>
      </c>
      <c r="F230" t="s">
        <v>40</v>
      </c>
      <c r="G230">
        <v>1</v>
      </c>
      <c r="H230" s="2">
        <v>51.54</v>
      </c>
      <c r="I230" s="3">
        <v>0.1</v>
      </c>
      <c r="J230" s="2">
        <v>46.39</v>
      </c>
      <c r="K230" t="s">
        <v>79</v>
      </c>
    </row>
    <row r="231" spans="1:11">
      <c r="A231" t="s">
        <v>487</v>
      </c>
      <c r="B231" s="1">
        <v>45695</v>
      </c>
      <c r="C231" t="s">
        <v>488</v>
      </c>
      <c r="D231" t="s">
        <v>26</v>
      </c>
      <c r="E231" t="s">
        <v>21</v>
      </c>
      <c r="F231" t="s">
        <v>40</v>
      </c>
      <c r="G231">
        <v>1</v>
      </c>
      <c r="H231" s="2">
        <v>53.19</v>
      </c>
      <c r="I231" s="3">
        <v>0</v>
      </c>
      <c r="J231" s="2">
        <v>53.19</v>
      </c>
      <c r="K231" t="s">
        <v>56</v>
      </c>
    </row>
    <row r="232" spans="1:11">
      <c r="A232" t="s">
        <v>489</v>
      </c>
      <c r="B232" s="1">
        <v>45691</v>
      </c>
      <c r="C232" t="s">
        <v>490</v>
      </c>
      <c r="D232" t="s">
        <v>26</v>
      </c>
      <c r="E232" t="s">
        <v>21</v>
      </c>
      <c r="F232" t="s">
        <v>71</v>
      </c>
      <c r="G232">
        <v>1</v>
      </c>
      <c r="H232" s="2">
        <v>78.95</v>
      </c>
      <c r="I232" s="3">
        <v>0</v>
      </c>
      <c r="J232" s="2">
        <v>78.95</v>
      </c>
      <c r="K232" t="s">
        <v>56</v>
      </c>
    </row>
    <row r="233" spans="1:11">
      <c r="A233" t="s">
        <v>491</v>
      </c>
      <c r="B233" s="1">
        <v>45772</v>
      </c>
      <c r="C233" t="s">
        <v>492</v>
      </c>
      <c r="D233" t="s">
        <v>18</v>
      </c>
      <c r="E233" t="s">
        <v>17</v>
      </c>
      <c r="F233" t="s">
        <v>23</v>
      </c>
      <c r="G233">
        <v>4</v>
      </c>
      <c r="H233" s="2">
        <v>143.37</v>
      </c>
      <c r="I233" s="3">
        <v>0</v>
      </c>
      <c r="J233" s="2">
        <v>573.48</v>
      </c>
      <c r="K233" t="s">
        <v>61</v>
      </c>
    </row>
    <row r="234" spans="1:11">
      <c r="A234" t="s">
        <v>493</v>
      </c>
      <c r="B234" s="1">
        <v>45941</v>
      </c>
      <c r="C234" t="s">
        <v>425</v>
      </c>
      <c r="D234" t="s">
        <v>18</v>
      </c>
      <c r="E234" t="s">
        <v>29</v>
      </c>
      <c r="F234" t="s">
        <v>68</v>
      </c>
      <c r="G234">
        <v>1</v>
      </c>
      <c r="H234" s="2">
        <v>50.18</v>
      </c>
      <c r="I234" s="3">
        <v>0.15</v>
      </c>
      <c r="J234" s="2">
        <v>42.65</v>
      </c>
      <c r="K234" t="s">
        <v>79</v>
      </c>
    </row>
    <row r="235" spans="1:11">
      <c r="A235" t="s">
        <v>494</v>
      </c>
      <c r="B235" s="1">
        <v>45816</v>
      </c>
      <c r="C235" t="s">
        <v>495</v>
      </c>
      <c r="D235" t="s">
        <v>30</v>
      </c>
      <c r="E235" t="s">
        <v>25</v>
      </c>
      <c r="F235" t="s">
        <v>38</v>
      </c>
      <c r="G235">
        <v>4</v>
      </c>
      <c r="H235" s="2">
        <v>129.38</v>
      </c>
      <c r="I235" s="3">
        <v>0.15</v>
      </c>
      <c r="J235" s="2">
        <v>439.89</v>
      </c>
      <c r="K235" t="s">
        <v>56</v>
      </c>
    </row>
    <row r="236" spans="1:11">
      <c r="A236" t="s">
        <v>496</v>
      </c>
      <c r="B236" s="1">
        <v>45695</v>
      </c>
      <c r="C236" t="s">
        <v>497</v>
      </c>
      <c r="D236" t="s">
        <v>26</v>
      </c>
      <c r="E236" t="s">
        <v>17</v>
      </c>
      <c r="F236" t="s">
        <v>27</v>
      </c>
      <c r="G236">
        <v>4</v>
      </c>
      <c r="H236" s="2">
        <v>62.66</v>
      </c>
      <c r="I236" s="3">
        <v>0.1</v>
      </c>
      <c r="J236" s="2">
        <v>225.58</v>
      </c>
      <c r="K236" t="s">
        <v>79</v>
      </c>
    </row>
    <row r="237" spans="1:11">
      <c r="A237" t="s">
        <v>498</v>
      </c>
      <c r="B237" s="1">
        <v>45940</v>
      </c>
      <c r="C237" t="s">
        <v>499</v>
      </c>
      <c r="D237" t="s">
        <v>18</v>
      </c>
      <c r="E237" t="s">
        <v>29</v>
      </c>
      <c r="F237" t="s">
        <v>92</v>
      </c>
      <c r="G237">
        <v>2</v>
      </c>
      <c r="H237" s="2">
        <v>60.69</v>
      </c>
      <c r="I237" s="3">
        <v>0</v>
      </c>
      <c r="J237" s="2">
        <v>121.38</v>
      </c>
      <c r="K237" t="s">
        <v>79</v>
      </c>
    </row>
    <row r="238" spans="1:11">
      <c r="A238" t="s">
        <v>500</v>
      </c>
      <c r="B238" s="1">
        <v>45923</v>
      </c>
      <c r="C238" t="s">
        <v>501</v>
      </c>
      <c r="D238" t="s">
        <v>26</v>
      </c>
      <c r="E238" t="s">
        <v>17</v>
      </c>
      <c r="F238" t="s">
        <v>27</v>
      </c>
      <c r="G238">
        <v>1</v>
      </c>
      <c r="H238" s="2">
        <v>53.3</v>
      </c>
      <c r="I238" s="3">
        <v>0</v>
      </c>
      <c r="J238" s="2">
        <v>53.3</v>
      </c>
      <c r="K238" t="s">
        <v>79</v>
      </c>
    </row>
    <row r="239" spans="1:11">
      <c r="A239" t="s">
        <v>502</v>
      </c>
      <c r="B239" s="1">
        <v>45786</v>
      </c>
      <c r="C239" t="s">
        <v>503</v>
      </c>
      <c r="D239" t="s">
        <v>18</v>
      </c>
      <c r="E239" t="s">
        <v>33</v>
      </c>
      <c r="F239" t="s">
        <v>31</v>
      </c>
      <c r="G239">
        <v>2</v>
      </c>
      <c r="H239" s="2">
        <v>76.349999999999994</v>
      </c>
      <c r="I239" s="3">
        <v>0</v>
      </c>
      <c r="J239" s="2">
        <v>152.69999999999999</v>
      </c>
      <c r="K239" t="s">
        <v>56</v>
      </c>
    </row>
    <row r="240" spans="1:11">
      <c r="A240" t="s">
        <v>504</v>
      </c>
      <c r="B240" s="1">
        <v>45986</v>
      </c>
      <c r="C240" t="s">
        <v>505</v>
      </c>
      <c r="D240" t="s">
        <v>18</v>
      </c>
      <c r="E240" t="s">
        <v>17</v>
      </c>
      <c r="F240" t="s">
        <v>27</v>
      </c>
      <c r="G240">
        <v>2</v>
      </c>
      <c r="H240" s="2">
        <v>61.46</v>
      </c>
      <c r="I240" s="3">
        <v>0</v>
      </c>
      <c r="J240" s="2">
        <v>122.92</v>
      </c>
      <c r="K240" t="s">
        <v>79</v>
      </c>
    </row>
    <row r="241" spans="1:11">
      <c r="A241" t="s">
        <v>506</v>
      </c>
      <c r="B241" s="1">
        <v>45699</v>
      </c>
      <c r="C241" t="s">
        <v>507</v>
      </c>
      <c r="D241" t="s">
        <v>30</v>
      </c>
      <c r="E241" t="s">
        <v>17</v>
      </c>
      <c r="F241" t="s">
        <v>19</v>
      </c>
      <c r="G241">
        <v>3</v>
      </c>
      <c r="H241" s="2">
        <v>87.25</v>
      </c>
      <c r="I241" s="3">
        <v>0.05</v>
      </c>
      <c r="J241" s="2">
        <v>248.66</v>
      </c>
      <c r="K241" t="s">
        <v>56</v>
      </c>
    </row>
    <row r="242" spans="1:11">
      <c r="A242" t="s">
        <v>508</v>
      </c>
      <c r="B242" s="1">
        <v>45985</v>
      </c>
      <c r="C242" t="s">
        <v>509</v>
      </c>
      <c r="D242" t="s">
        <v>30</v>
      </c>
      <c r="E242" t="s">
        <v>17</v>
      </c>
      <c r="F242" t="s">
        <v>19</v>
      </c>
      <c r="G242">
        <v>1</v>
      </c>
      <c r="H242" s="2">
        <v>83.5</v>
      </c>
      <c r="I242" s="3">
        <v>0.05</v>
      </c>
      <c r="J242" s="2">
        <v>79.33</v>
      </c>
      <c r="K242" t="s">
        <v>79</v>
      </c>
    </row>
    <row r="243" spans="1:11">
      <c r="A243" t="s">
        <v>510</v>
      </c>
      <c r="B243" s="1">
        <v>46008</v>
      </c>
      <c r="C243" t="s">
        <v>131</v>
      </c>
      <c r="D243" t="s">
        <v>30</v>
      </c>
      <c r="E243" t="s">
        <v>25</v>
      </c>
      <c r="F243" t="s">
        <v>38</v>
      </c>
      <c r="G243">
        <v>1</v>
      </c>
      <c r="H243" s="2">
        <v>104.02</v>
      </c>
      <c r="I243" s="3">
        <v>0</v>
      </c>
      <c r="J243" s="2">
        <v>104.02</v>
      </c>
      <c r="K243" t="s">
        <v>61</v>
      </c>
    </row>
    <row r="244" spans="1:11">
      <c r="A244" t="s">
        <v>511</v>
      </c>
      <c r="B244" s="1">
        <v>45905</v>
      </c>
      <c r="C244" t="s">
        <v>512</v>
      </c>
      <c r="D244" t="s">
        <v>26</v>
      </c>
      <c r="E244" t="s">
        <v>21</v>
      </c>
      <c r="F244" t="s">
        <v>40</v>
      </c>
      <c r="G244">
        <v>1</v>
      </c>
      <c r="H244" s="2">
        <v>51.46</v>
      </c>
      <c r="I244" s="3">
        <v>0.05</v>
      </c>
      <c r="J244" s="2">
        <v>48.89</v>
      </c>
      <c r="K244" t="s">
        <v>61</v>
      </c>
    </row>
    <row r="245" spans="1:11">
      <c r="A245" t="s">
        <v>513</v>
      </c>
      <c r="B245" s="1">
        <v>45724</v>
      </c>
      <c r="C245" t="s">
        <v>497</v>
      </c>
      <c r="D245" t="s">
        <v>18</v>
      </c>
      <c r="E245" t="s">
        <v>25</v>
      </c>
      <c r="F245" t="s">
        <v>36</v>
      </c>
      <c r="G245">
        <v>1</v>
      </c>
      <c r="H245" s="2">
        <v>78.77</v>
      </c>
      <c r="I245" s="3">
        <v>0</v>
      </c>
      <c r="J245" s="2">
        <v>78.77</v>
      </c>
      <c r="K245" t="s">
        <v>61</v>
      </c>
    </row>
    <row r="246" spans="1:11">
      <c r="A246" t="s">
        <v>514</v>
      </c>
      <c r="B246" s="1">
        <v>45888</v>
      </c>
      <c r="C246" t="s">
        <v>515</v>
      </c>
      <c r="D246" t="s">
        <v>22</v>
      </c>
      <c r="E246" t="s">
        <v>33</v>
      </c>
      <c r="F246" t="s">
        <v>31</v>
      </c>
      <c r="G246">
        <v>1</v>
      </c>
      <c r="H246" s="2">
        <v>64.14</v>
      </c>
      <c r="I246" s="3">
        <v>0.1</v>
      </c>
      <c r="J246" s="2">
        <v>57.73</v>
      </c>
      <c r="K246" t="s">
        <v>79</v>
      </c>
    </row>
    <row r="247" spans="1:11">
      <c r="A247" t="s">
        <v>516</v>
      </c>
      <c r="B247" s="1">
        <v>45825</v>
      </c>
      <c r="C247" t="s">
        <v>280</v>
      </c>
      <c r="D247" t="s">
        <v>30</v>
      </c>
      <c r="E247" t="s">
        <v>29</v>
      </c>
      <c r="F247" t="s">
        <v>68</v>
      </c>
      <c r="G247">
        <v>2</v>
      </c>
      <c r="H247" s="2">
        <v>41.07</v>
      </c>
      <c r="I247" s="3">
        <v>0</v>
      </c>
      <c r="J247" s="2">
        <v>82.14</v>
      </c>
      <c r="K247" t="s">
        <v>61</v>
      </c>
    </row>
    <row r="248" spans="1:11">
      <c r="A248" t="s">
        <v>517</v>
      </c>
      <c r="B248" s="1">
        <v>45815</v>
      </c>
      <c r="C248" t="s">
        <v>451</v>
      </c>
      <c r="D248" t="s">
        <v>22</v>
      </c>
      <c r="E248" t="s">
        <v>21</v>
      </c>
      <c r="F248" t="s">
        <v>40</v>
      </c>
      <c r="G248">
        <v>1</v>
      </c>
      <c r="H248" s="2">
        <v>56.93</v>
      </c>
      <c r="I248" s="3">
        <v>0.15</v>
      </c>
      <c r="J248" s="2">
        <v>48.39</v>
      </c>
      <c r="K248" t="s">
        <v>79</v>
      </c>
    </row>
    <row r="249" spans="1:11">
      <c r="A249" t="s">
        <v>518</v>
      </c>
      <c r="B249" s="1">
        <v>45956</v>
      </c>
      <c r="C249" t="s">
        <v>260</v>
      </c>
      <c r="D249" t="s">
        <v>26</v>
      </c>
      <c r="E249" t="s">
        <v>25</v>
      </c>
      <c r="F249" t="s">
        <v>36</v>
      </c>
      <c r="G249">
        <v>1</v>
      </c>
      <c r="H249" s="2">
        <v>83.91</v>
      </c>
      <c r="I249" s="3">
        <v>0.15</v>
      </c>
      <c r="J249" s="2">
        <v>71.319999999999993</v>
      </c>
      <c r="K249" t="s">
        <v>56</v>
      </c>
    </row>
    <row r="250" spans="1:11">
      <c r="A250" t="s">
        <v>519</v>
      </c>
      <c r="B250" s="1">
        <v>45662</v>
      </c>
      <c r="C250" t="s">
        <v>520</v>
      </c>
      <c r="D250" t="s">
        <v>26</v>
      </c>
      <c r="E250" t="s">
        <v>17</v>
      </c>
      <c r="F250" t="s">
        <v>23</v>
      </c>
      <c r="G250">
        <v>1</v>
      </c>
      <c r="H250" s="2">
        <v>147.22</v>
      </c>
      <c r="I250" s="3">
        <v>0.05</v>
      </c>
      <c r="J250" s="2">
        <v>139.86000000000001</v>
      </c>
      <c r="K250" t="s">
        <v>79</v>
      </c>
    </row>
    <row r="251" spans="1:11">
      <c r="A251" t="s">
        <v>521</v>
      </c>
      <c r="B251" s="1">
        <v>45863</v>
      </c>
      <c r="C251" t="s">
        <v>522</v>
      </c>
      <c r="D251" t="s">
        <v>18</v>
      </c>
      <c r="E251" t="s">
        <v>17</v>
      </c>
      <c r="F251" t="s">
        <v>19</v>
      </c>
      <c r="G251">
        <v>2</v>
      </c>
      <c r="H251" s="2">
        <v>72.22</v>
      </c>
      <c r="I251" s="3">
        <v>0.15</v>
      </c>
      <c r="J251" s="2">
        <v>122.77</v>
      </c>
      <c r="K251" t="s">
        <v>61</v>
      </c>
    </row>
    <row r="252" spans="1:11">
      <c r="A252" t="s">
        <v>523</v>
      </c>
      <c r="B252" s="1">
        <v>45916</v>
      </c>
      <c r="C252" t="s">
        <v>524</v>
      </c>
      <c r="D252" t="s">
        <v>22</v>
      </c>
      <c r="E252" t="s">
        <v>21</v>
      </c>
      <c r="F252" t="s">
        <v>40</v>
      </c>
      <c r="G252">
        <v>2</v>
      </c>
      <c r="H252" s="2">
        <v>46.17</v>
      </c>
      <c r="I252" s="3">
        <v>0.15</v>
      </c>
      <c r="J252" s="2">
        <v>78.489999999999995</v>
      </c>
      <c r="K252" t="s">
        <v>79</v>
      </c>
    </row>
    <row r="253" spans="1:11">
      <c r="A253" t="s">
        <v>525</v>
      </c>
      <c r="B253" s="1">
        <v>45859</v>
      </c>
      <c r="C253" t="s">
        <v>526</v>
      </c>
      <c r="D253" t="s">
        <v>22</v>
      </c>
      <c r="E253" t="s">
        <v>25</v>
      </c>
      <c r="F253" t="s">
        <v>36</v>
      </c>
      <c r="G253">
        <v>2</v>
      </c>
      <c r="H253" s="2">
        <v>85.61</v>
      </c>
      <c r="I253" s="3">
        <v>0.05</v>
      </c>
      <c r="J253" s="2">
        <v>162.66</v>
      </c>
      <c r="K253" t="s">
        <v>56</v>
      </c>
    </row>
    <row r="254" spans="1:11">
      <c r="A254" t="s">
        <v>527</v>
      </c>
      <c r="B254" s="1">
        <v>45918</v>
      </c>
      <c r="C254" t="s">
        <v>528</v>
      </c>
      <c r="D254" t="s">
        <v>30</v>
      </c>
      <c r="E254" t="s">
        <v>25</v>
      </c>
      <c r="F254" t="s">
        <v>38</v>
      </c>
      <c r="G254">
        <v>1</v>
      </c>
      <c r="H254" s="2">
        <v>102.93</v>
      </c>
      <c r="I254" s="3">
        <v>0</v>
      </c>
      <c r="J254" s="2">
        <v>102.93</v>
      </c>
      <c r="K254" t="s">
        <v>56</v>
      </c>
    </row>
    <row r="255" spans="1:11">
      <c r="A255" t="s">
        <v>529</v>
      </c>
      <c r="B255" s="1">
        <v>45891</v>
      </c>
      <c r="C255" t="s">
        <v>512</v>
      </c>
      <c r="D255" t="s">
        <v>22</v>
      </c>
      <c r="E255" t="s">
        <v>17</v>
      </c>
      <c r="F255" t="s">
        <v>27</v>
      </c>
      <c r="G255">
        <v>2</v>
      </c>
      <c r="H255" s="2">
        <v>60.19</v>
      </c>
      <c r="I255" s="3">
        <v>0.05</v>
      </c>
      <c r="J255" s="2">
        <v>114.36</v>
      </c>
      <c r="K255" t="s">
        <v>61</v>
      </c>
    </row>
    <row r="256" spans="1:11">
      <c r="A256" t="s">
        <v>530</v>
      </c>
      <c r="B256" s="1">
        <v>45973</v>
      </c>
      <c r="C256" t="s">
        <v>531</v>
      </c>
      <c r="D256" t="s">
        <v>30</v>
      </c>
      <c r="E256" t="s">
        <v>25</v>
      </c>
      <c r="F256" t="s">
        <v>78</v>
      </c>
      <c r="G256">
        <v>3</v>
      </c>
      <c r="H256" s="2">
        <v>40.79</v>
      </c>
      <c r="I256" s="3">
        <v>0.15</v>
      </c>
      <c r="J256" s="2">
        <v>104.01</v>
      </c>
      <c r="K256" t="s">
        <v>56</v>
      </c>
    </row>
    <row r="257" spans="1:11">
      <c r="A257" t="s">
        <v>532</v>
      </c>
      <c r="B257" s="1">
        <v>45946</v>
      </c>
      <c r="C257" t="s">
        <v>89</v>
      </c>
      <c r="D257" t="s">
        <v>30</v>
      </c>
      <c r="E257" t="s">
        <v>33</v>
      </c>
      <c r="F257" t="s">
        <v>34</v>
      </c>
      <c r="G257">
        <v>1</v>
      </c>
      <c r="H257" s="2">
        <v>24.81</v>
      </c>
      <c r="I257" s="3">
        <v>0.05</v>
      </c>
      <c r="J257" s="2">
        <v>23.57</v>
      </c>
      <c r="K257" t="s">
        <v>56</v>
      </c>
    </row>
    <row r="258" spans="1:11">
      <c r="A258" t="s">
        <v>533</v>
      </c>
      <c r="B258" s="1">
        <v>45815</v>
      </c>
      <c r="C258" t="s">
        <v>534</v>
      </c>
      <c r="D258" t="s">
        <v>26</v>
      </c>
      <c r="E258" t="s">
        <v>25</v>
      </c>
      <c r="F258" t="s">
        <v>78</v>
      </c>
      <c r="G258">
        <v>3</v>
      </c>
      <c r="H258" s="2">
        <v>41.25</v>
      </c>
      <c r="I258" s="3">
        <v>0.15</v>
      </c>
      <c r="J258" s="2">
        <v>105.19</v>
      </c>
      <c r="K258" t="s">
        <v>56</v>
      </c>
    </row>
    <row r="259" spans="1:11">
      <c r="A259" t="s">
        <v>535</v>
      </c>
      <c r="B259" s="1">
        <v>45954</v>
      </c>
      <c r="C259" t="s">
        <v>536</v>
      </c>
      <c r="D259" t="s">
        <v>30</v>
      </c>
      <c r="E259" t="s">
        <v>29</v>
      </c>
      <c r="F259" t="s">
        <v>68</v>
      </c>
      <c r="G259">
        <v>1</v>
      </c>
      <c r="H259" s="2">
        <v>39.01</v>
      </c>
      <c r="I259" s="3">
        <v>0.1</v>
      </c>
      <c r="J259" s="2">
        <v>35.11</v>
      </c>
      <c r="K259" t="s">
        <v>79</v>
      </c>
    </row>
    <row r="260" spans="1:11">
      <c r="A260" t="s">
        <v>537</v>
      </c>
      <c r="B260" s="1">
        <v>46006</v>
      </c>
      <c r="C260" t="s">
        <v>538</v>
      </c>
      <c r="D260" t="s">
        <v>18</v>
      </c>
      <c r="E260" t="s">
        <v>33</v>
      </c>
      <c r="F260" t="s">
        <v>31</v>
      </c>
      <c r="G260">
        <v>1</v>
      </c>
      <c r="H260" s="2">
        <v>86.06</v>
      </c>
      <c r="I260" s="3">
        <v>0</v>
      </c>
      <c r="J260" s="2">
        <v>86.06</v>
      </c>
      <c r="K260" t="s">
        <v>61</v>
      </c>
    </row>
    <row r="261" spans="1:11">
      <c r="A261" t="s">
        <v>539</v>
      </c>
      <c r="B261" s="1">
        <v>45818</v>
      </c>
      <c r="C261" t="s">
        <v>540</v>
      </c>
      <c r="D261" t="s">
        <v>30</v>
      </c>
      <c r="E261" t="s">
        <v>25</v>
      </c>
      <c r="F261" t="s">
        <v>38</v>
      </c>
      <c r="G261">
        <v>1</v>
      </c>
      <c r="H261" s="2">
        <v>128.27000000000001</v>
      </c>
      <c r="I261" s="3">
        <v>0.1</v>
      </c>
      <c r="J261" s="2">
        <v>115.44</v>
      </c>
      <c r="K261" t="s">
        <v>56</v>
      </c>
    </row>
    <row r="262" spans="1:11">
      <c r="A262" t="s">
        <v>541</v>
      </c>
      <c r="B262" s="1">
        <v>45689</v>
      </c>
      <c r="C262" t="s">
        <v>542</v>
      </c>
      <c r="D262" t="s">
        <v>30</v>
      </c>
      <c r="E262" t="s">
        <v>25</v>
      </c>
      <c r="F262" t="s">
        <v>78</v>
      </c>
      <c r="G262">
        <v>1</v>
      </c>
      <c r="H262" s="2">
        <v>35.82</v>
      </c>
      <c r="I262" s="3">
        <v>0.05</v>
      </c>
      <c r="J262" s="2">
        <v>34.03</v>
      </c>
      <c r="K262" t="s">
        <v>61</v>
      </c>
    </row>
    <row r="263" spans="1:11">
      <c r="A263" t="s">
        <v>543</v>
      </c>
      <c r="B263" s="1">
        <v>45746</v>
      </c>
      <c r="C263" t="s">
        <v>145</v>
      </c>
      <c r="D263" t="s">
        <v>30</v>
      </c>
      <c r="E263" t="s">
        <v>21</v>
      </c>
      <c r="F263" t="s">
        <v>40</v>
      </c>
      <c r="G263">
        <v>3</v>
      </c>
      <c r="H263" s="2">
        <v>47.19</v>
      </c>
      <c r="I263" s="3">
        <v>0.05</v>
      </c>
      <c r="J263" s="2">
        <v>134.49</v>
      </c>
      <c r="K263" t="s">
        <v>79</v>
      </c>
    </row>
    <row r="264" spans="1:11">
      <c r="A264" t="s">
        <v>544</v>
      </c>
      <c r="B264" s="1">
        <v>45784</v>
      </c>
      <c r="C264" t="s">
        <v>522</v>
      </c>
      <c r="D264" t="s">
        <v>22</v>
      </c>
      <c r="E264" t="s">
        <v>33</v>
      </c>
      <c r="F264" t="s">
        <v>34</v>
      </c>
      <c r="G264">
        <v>2</v>
      </c>
      <c r="H264" s="2">
        <v>26.8</v>
      </c>
      <c r="I264" s="3">
        <v>0.05</v>
      </c>
      <c r="J264" s="2">
        <v>50.92</v>
      </c>
      <c r="K264" t="s">
        <v>56</v>
      </c>
    </row>
    <row r="265" spans="1:11">
      <c r="A265" t="s">
        <v>545</v>
      </c>
      <c r="B265" s="1">
        <v>46018</v>
      </c>
      <c r="C265" t="s">
        <v>546</v>
      </c>
      <c r="D265" t="s">
        <v>18</v>
      </c>
      <c r="E265" t="s">
        <v>21</v>
      </c>
      <c r="F265" t="s">
        <v>40</v>
      </c>
      <c r="G265">
        <v>1</v>
      </c>
      <c r="H265" s="2">
        <v>47.29</v>
      </c>
      <c r="I265" s="3">
        <v>0.05</v>
      </c>
      <c r="J265" s="2">
        <v>44.93</v>
      </c>
      <c r="K265" t="s">
        <v>56</v>
      </c>
    </row>
    <row r="266" spans="1:11">
      <c r="A266" t="s">
        <v>547</v>
      </c>
      <c r="B266" s="1">
        <v>46004</v>
      </c>
      <c r="C266" t="s">
        <v>548</v>
      </c>
      <c r="D266" t="s">
        <v>26</v>
      </c>
      <c r="E266" t="s">
        <v>21</v>
      </c>
      <c r="F266" t="s">
        <v>71</v>
      </c>
      <c r="G266">
        <v>1</v>
      </c>
      <c r="H266" s="2">
        <v>80.97</v>
      </c>
      <c r="I266" s="3">
        <v>0.05</v>
      </c>
      <c r="J266" s="2">
        <v>76.92</v>
      </c>
      <c r="K266" t="s">
        <v>79</v>
      </c>
    </row>
    <row r="267" spans="1:11">
      <c r="A267" t="s">
        <v>549</v>
      </c>
      <c r="B267" s="1">
        <v>45805</v>
      </c>
      <c r="C267" t="s">
        <v>462</v>
      </c>
      <c r="D267" t="s">
        <v>22</v>
      </c>
      <c r="E267" t="s">
        <v>25</v>
      </c>
      <c r="F267" t="s">
        <v>78</v>
      </c>
      <c r="G267">
        <v>1</v>
      </c>
      <c r="H267" s="2">
        <v>45.04</v>
      </c>
      <c r="I267" s="3">
        <v>0.05</v>
      </c>
      <c r="J267" s="2">
        <v>42.79</v>
      </c>
      <c r="K267" t="s">
        <v>79</v>
      </c>
    </row>
    <row r="268" spans="1:11">
      <c r="A268" t="s">
        <v>550</v>
      </c>
      <c r="B268" s="1">
        <v>45933</v>
      </c>
      <c r="C268" t="s">
        <v>551</v>
      </c>
      <c r="D268" t="s">
        <v>22</v>
      </c>
      <c r="E268" t="s">
        <v>33</v>
      </c>
      <c r="F268" t="s">
        <v>34</v>
      </c>
      <c r="G268">
        <v>3</v>
      </c>
      <c r="H268" s="2">
        <v>31.31</v>
      </c>
      <c r="I268" s="3">
        <v>0</v>
      </c>
      <c r="J268" s="2">
        <v>93.93</v>
      </c>
      <c r="K268" t="s">
        <v>79</v>
      </c>
    </row>
    <row r="269" spans="1:11">
      <c r="A269" t="s">
        <v>552</v>
      </c>
      <c r="B269" s="1">
        <v>45683</v>
      </c>
      <c r="C269" t="s">
        <v>553</v>
      </c>
      <c r="D269" t="s">
        <v>18</v>
      </c>
      <c r="E269" t="s">
        <v>29</v>
      </c>
      <c r="F269" t="s">
        <v>92</v>
      </c>
      <c r="G269">
        <v>3</v>
      </c>
      <c r="H269" s="2">
        <v>50.85</v>
      </c>
      <c r="I269" s="3">
        <v>0</v>
      </c>
      <c r="J269" s="2">
        <v>152.55000000000001</v>
      </c>
      <c r="K269" t="s">
        <v>61</v>
      </c>
    </row>
    <row r="270" spans="1:11">
      <c r="A270" t="s">
        <v>554</v>
      </c>
      <c r="B270" s="1">
        <v>45827</v>
      </c>
      <c r="C270" t="s">
        <v>447</v>
      </c>
      <c r="D270" t="s">
        <v>22</v>
      </c>
      <c r="E270" t="s">
        <v>25</v>
      </c>
      <c r="F270" t="s">
        <v>78</v>
      </c>
      <c r="G270">
        <v>1</v>
      </c>
      <c r="H270" s="2">
        <v>41.92</v>
      </c>
      <c r="I270" s="3">
        <v>0</v>
      </c>
      <c r="J270" s="2">
        <v>41.92</v>
      </c>
      <c r="K270" t="s">
        <v>61</v>
      </c>
    </row>
    <row r="271" spans="1:11">
      <c r="A271" t="s">
        <v>555</v>
      </c>
      <c r="B271" s="1">
        <v>45992</v>
      </c>
      <c r="C271" t="s">
        <v>472</v>
      </c>
      <c r="D271" t="s">
        <v>26</v>
      </c>
      <c r="E271" t="s">
        <v>21</v>
      </c>
      <c r="F271" t="s">
        <v>40</v>
      </c>
      <c r="G271">
        <v>1</v>
      </c>
      <c r="H271" s="2">
        <v>44.88</v>
      </c>
      <c r="I271" s="3">
        <v>0.05</v>
      </c>
      <c r="J271" s="2">
        <v>42.64</v>
      </c>
      <c r="K271" t="s">
        <v>56</v>
      </c>
    </row>
    <row r="272" spans="1:11">
      <c r="A272" t="s">
        <v>556</v>
      </c>
      <c r="B272" s="1">
        <v>45688</v>
      </c>
      <c r="C272" t="s">
        <v>391</v>
      </c>
      <c r="D272" t="s">
        <v>30</v>
      </c>
      <c r="E272" t="s">
        <v>17</v>
      </c>
      <c r="F272" t="s">
        <v>23</v>
      </c>
      <c r="G272">
        <v>2</v>
      </c>
      <c r="H272" s="2">
        <v>119.54</v>
      </c>
      <c r="I272" s="3">
        <v>0</v>
      </c>
      <c r="J272" s="2">
        <v>239.08</v>
      </c>
      <c r="K272" t="s">
        <v>79</v>
      </c>
    </row>
    <row r="273" spans="1:11">
      <c r="A273" t="s">
        <v>557</v>
      </c>
      <c r="B273" s="1">
        <v>45676</v>
      </c>
      <c r="C273" t="s">
        <v>558</v>
      </c>
      <c r="D273" t="s">
        <v>18</v>
      </c>
      <c r="E273" t="s">
        <v>25</v>
      </c>
      <c r="F273" t="s">
        <v>38</v>
      </c>
      <c r="G273">
        <v>2</v>
      </c>
      <c r="H273" s="2">
        <v>108.47</v>
      </c>
      <c r="I273" s="3">
        <v>0.05</v>
      </c>
      <c r="J273" s="2">
        <v>206.09</v>
      </c>
      <c r="K273" t="s">
        <v>61</v>
      </c>
    </row>
    <row r="274" spans="1:11">
      <c r="A274" t="s">
        <v>559</v>
      </c>
      <c r="B274" s="1">
        <v>45948</v>
      </c>
      <c r="C274" t="s">
        <v>560</v>
      </c>
      <c r="D274" t="s">
        <v>30</v>
      </c>
      <c r="E274" t="s">
        <v>29</v>
      </c>
      <c r="F274" t="s">
        <v>68</v>
      </c>
      <c r="G274">
        <v>1</v>
      </c>
      <c r="H274" s="2">
        <v>52.85</v>
      </c>
      <c r="I274" s="3">
        <v>0.05</v>
      </c>
      <c r="J274" s="2">
        <v>50.21</v>
      </c>
      <c r="K274" t="s">
        <v>79</v>
      </c>
    </row>
    <row r="275" spans="1:11">
      <c r="A275" t="s">
        <v>561</v>
      </c>
      <c r="B275" s="1">
        <v>45916</v>
      </c>
      <c r="C275" t="s">
        <v>562</v>
      </c>
      <c r="D275" t="s">
        <v>30</v>
      </c>
      <c r="E275" t="s">
        <v>21</v>
      </c>
      <c r="F275" t="s">
        <v>40</v>
      </c>
      <c r="G275">
        <v>1</v>
      </c>
      <c r="H275" s="2">
        <v>54.73</v>
      </c>
      <c r="I275" s="3">
        <v>0.05</v>
      </c>
      <c r="J275" s="2">
        <v>51.99</v>
      </c>
      <c r="K275" t="s">
        <v>56</v>
      </c>
    </row>
    <row r="276" spans="1:11">
      <c r="A276" t="s">
        <v>563</v>
      </c>
      <c r="B276" s="1">
        <v>45789</v>
      </c>
      <c r="C276" t="s">
        <v>381</v>
      </c>
      <c r="D276" t="s">
        <v>22</v>
      </c>
      <c r="E276" t="s">
        <v>25</v>
      </c>
      <c r="F276" t="s">
        <v>78</v>
      </c>
      <c r="G276">
        <v>1</v>
      </c>
      <c r="H276" s="2">
        <v>42.63</v>
      </c>
      <c r="I276" s="3">
        <v>0.05</v>
      </c>
      <c r="J276" s="2">
        <v>40.5</v>
      </c>
      <c r="K276" t="s">
        <v>79</v>
      </c>
    </row>
    <row r="277" spans="1:11">
      <c r="A277" t="s">
        <v>564</v>
      </c>
      <c r="B277" s="1">
        <v>45970</v>
      </c>
      <c r="C277" t="s">
        <v>565</v>
      </c>
      <c r="D277" t="s">
        <v>18</v>
      </c>
      <c r="E277" t="s">
        <v>29</v>
      </c>
      <c r="F277" t="s">
        <v>92</v>
      </c>
      <c r="G277">
        <v>3</v>
      </c>
      <c r="H277" s="2">
        <v>61.76</v>
      </c>
      <c r="I277" s="3">
        <v>0.15</v>
      </c>
      <c r="J277" s="2">
        <v>157.49</v>
      </c>
      <c r="K277" t="s">
        <v>61</v>
      </c>
    </row>
    <row r="278" spans="1:11">
      <c r="A278" t="s">
        <v>566</v>
      </c>
      <c r="B278" s="1">
        <v>46000</v>
      </c>
      <c r="C278" t="s">
        <v>567</v>
      </c>
      <c r="D278" t="s">
        <v>18</v>
      </c>
      <c r="E278" t="s">
        <v>17</v>
      </c>
      <c r="F278" t="s">
        <v>23</v>
      </c>
      <c r="G278">
        <v>1</v>
      </c>
      <c r="H278" s="2">
        <v>115.64</v>
      </c>
      <c r="I278" s="3">
        <v>0.05</v>
      </c>
      <c r="J278" s="2">
        <v>109.86</v>
      </c>
      <c r="K278" t="s">
        <v>61</v>
      </c>
    </row>
    <row r="279" spans="1:11">
      <c r="A279" t="s">
        <v>568</v>
      </c>
      <c r="B279" s="1">
        <v>45854</v>
      </c>
      <c r="C279" t="s">
        <v>509</v>
      </c>
      <c r="D279" t="s">
        <v>18</v>
      </c>
      <c r="E279" t="s">
        <v>33</v>
      </c>
      <c r="F279" t="s">
        <v>31</v>
      </c>
      <c r="G279">
        <v>1</v>
      </c>
      <c r="H279" s="2">
        <v>69.42</v>
      </c>
      <c r="I279" s="3">
        <v>0.05</v>
      </c>
      <c r="J279" s="2">
        <v>65.95</v>
      </c>
      <c r="K279" t="s">
        <v>61</v>
      </c>
    </row>
    <row r="280" spans="1:11">
      <c r="A280" t="s">
        <v>569</v>
      </c>
      <c r="B280" s="1">
        <v>45992</v>
      </c>
      <c r="C280" t="s">
        <v>314</v>
      </c>
      <c r="D280" t="s">
        <v>26</v>
      </c>
      <c r="E280" t="s">
        <v>25</v>
      </c>
      <c r="F280" t="s">
        <v>36</v>
      </c>
      <c r="G280">
        <v>2</v>
      </c>
      <c r="H280" s="2">
        <v>77.47</v>
      </c>
      <c r="I280" s="3">
        <v>0</v>
      </c>
      <c r="J280" s="2">
        <v>154.94</v>
      </c>
      <c r="K280" t="s">
        <v>79</v>
      </c>
    </row>
    <row r="281" spans="1:11">
      <c r="A281" t="s">
        <v>570</v>
      </c>
      <c r="B281" s="1">
        <v>45865</v>
      </c>
      <c r="C281" t="s">
        <v>484</v>
      </c>
      <c r="D281" t="s">
        <v>26</v>
      </c>
      <c r="E281" t="s">
        <v>29</v>
      </c>
      <c r="F281" t="s">
        <v>92</v>
      </c>
      <c r="G281">
        <v>1</v>
      </c>
      <c r="H281" s="2">
        <v>63</v>
      </c>
      <c r="I281" s="3">
        <v>0.05</v>
      </c>
      <c r="J281" s="2">
        <v>59.85</v>
      </c>
      <c r="K281" t="s">
        <v>61</v>
      </c>
    </row>
    <row r="282" spans="1:11">
      <c r="A282" t="s">
        <v>571</v>
      </c>
      <c r="B282" s="1">
        <v>45972</v>
      </c>
      <c r="C282" t="s">
        <v>560</v>
      </c>
      <c r="D282" t="s">
        <v>26</v>
      </c>
      <c r="E282" t="s">
        <v>33</v>
      </c>
      <c r="F282" t="s">
        <v>31</v>
      </c>
      <c r="G282">
        <v>1</v>
      </c>
      <c r="H282" s="2">
        <v>66.16</v>
      </c>
      <c r="I282" s="3">
        <v>0</v>
      </c>
      <c r="J282" s="2">
        <v>66.16</v>
      </c>
      <c r="K282" t="s">
        <v>61</v>
      </c>
    </row>
    <row r="283" spans="1:11">
      <c r="A283" t="s">
        <v>572</v>
      </c>
      <c r="B283" s="1">
        <v>46017</v>
      </c>
      <c r="C283" t="s">
        <v>194</v>
      </c>
      <c r="D283" t="s">
        <v>18</v>
      </c>
      <c r="E283" t="s">
        <v>21</v>
      </c>
      <c r="F283" t="s">
        <v>71</v>
      </c>
      <c r="G283">
        <v>3</v>
      </c>
      <c r="H283" s="2">
        <v>75.89</v>
      </c>
      <c r="I283" s="3">
        <v>0</v>
      </c>
      <c r="J283" s="2">
        <v>227.67</v>
      </c>
      <c r="K283" t="s">
        <v>56</v>
      </c>
    </row>
    <row r="284" spans="1:11">
      <c r="A284" t="s">
        <v>573</v>
      </c>
      <c r="B284" s="1">
        <v>45886</v>
      </c>
      <c r="C284" t="s">
        <v>574</v>
      </c>
      <c r="D284" t="s">
        <v>18</v>
      </c>
      <c r="E284" t="s">
        <v>21</v>
      </c>
      <c r="F284" t="s">
        <v>71</v>
      </c>
      <c r="G284">
        <v>2</v>
      </c>
      <c r="H284" s="2">
        <v>60.43</v>
      </c>
      <c r="I284" s="3">
        <v>0.15</v>
      </c>
      <c r="J284" s="2">
        <v>102.73</v>
      </c>
      <c r="K284" t="s">
        <v>56</v>
      </c>
    </row>
    <row r="285" spans="1:11">
      <c r="A285" t="s">
        <v>575</v>
      </c>
      <c r="B285" s="1">
        <v>45916</v>
      </c>
      <c r="C285" t="s">
        <v>170</v>
      </c>
      <c r="D285" t="s">
        <v>30</v>
      </c>
      <c r="E285" t="s">
        <v>33</v>
      </c>
      <c r="F285" t="s">
        <v>31</v>
      </c>
      <c r="G285">
        <v>2</v>
      </c>
      <c r="H285" s="2">
        <v>66.56</v>
      </c>
      <c r="I285" s="3">
        <v>0.05</v>
      </c>
      <c r="J285" s="2">
        <v>126.46</v>
      </c>
      <c r="K285" t="s">
        <v>79</v>
      </c>
    </row>
    <row r="286" spans="1:11">
      <c r="A286" t="s">
        <v>576</v>
      </c>
      <c r="B286" s="1">
        <v>46006</v>
      </c>
      <c r="C286" t="s">
        <v>577</v>
      </c>
      <c r="D286" t="s">
        <v>18</v>
      </c>
      <c r="E286" t="s">
        <v>33</v>
      </c>
      <c r="F286" t="s">
        <v>31</v>
      </c>
      <c r="G286">
        <v>2</v>
      </c>
      <c r="H286" s="2">
        <v>74.84</v>
      </c>
      <c r="I286" s="3">
        <v>0.15</v>
      </c>
      <c r="J286" s="2">
        <v>127.23</v>
      </c>
      <c r="K286" t="s">
        <v>61</v>
      </c>
    </row>
    <row r="287" spans="1:11">
      <c r="A287" t="s">
        <v>578</v>
      </c>
      <c r="B287" s="1">
        <v>45725</v>
      </c>
      <c r="C287" t="s">
        <v>579</v>
      </c>
      <c r="D287" t="s">
        <v>26</v>
      </c>
      <c r="E287" t="s">
        <v>21</v>
      </c>
      <c r="F287" t="s">
        <v>71</v>
      </c>
      <c r="G287">
        <v>1</v>
      </c>
      <c r="H287" s="2">
        <v>71.489999999999995</v>
      </c>
      <c r="I287" s="3">
        <v>0.15</v>
      </c>
      <c r="J287" s="2">
        <v>60.77</v>
      </c>
      <c r="K287" t="s">
        <v>56</v>
      </c>
    </row>
    <row r="288" spans="1:11">
      <c r="A288" t="s">
        <v>580</v>
      </c>
      <c r="B288" s="1">
        <v>45669</v>
      </c>
      <c r="C288" t="s">
        <v>581</v>
      </c>
      <c r="D288" t="s">
        <v>18</v>
      </c>
      <c r="E288" t="s">
        <v>25</v>
      </c>
      <c r="F288" t="s">
        <v>38</v>
      </c>
      <c r="G288">
        <v>1</v>
      </c>
      <c r="H288" s="2">
        <v>101.27</v>
      </c>
      <c r="I288" s="3">
        <v>0</v>
      </c>
      <c r="J288" s="2">
        <v>101.27</v>
      </c>
      <c r="K288" t="s">
        <v>79</v>
      </c>
    </row>
    <row r="289" spans="1:11">
      <c r="A289" t="s">
        <v>582</v>
      </c>
      <c r="B289" s="1">
        <v>45874</v>
      </c>
      <c r="C289" t="s">
        <v>583</v>
      </c>
      <c r="D289" t="s">
        <v>30</v>
      </c>
      <c r="E289" t="s">
        <v>25</v>
      </c>
      <c r="F289" t="s">
        <v>36</v>
      </c>
      <c r="G289">
        <v>2</v>
      </c>
      <c r="H289" s="2">
        <v>91.54</v>
      </c>
      <c r="I289" s="3">
        <v>0</v>
      </c>
      <c r="J289" s="2">
        <v>183.08</v>
      </c>
      <c r="K289" t="s">
        <v>79</v>
      </c>
    </row>
    <row r="290" spans="1:11">
      <c r="A290" t="s">
        <v>584</v>
      </c>
      <c r="B290" s="1">
        <v>45804</v>
      </c>
      <c r="C290" t="s">
        <v>585</v>
      </c>
      <c r="D290" t="s">
        <v>30</v>
      </c>
      <c r="E290" t="s">
        <v>25</v>
      </c>
      <c r="F290" t="s">
        <v>38</v>
      </c>
      <c r="G290">
        <v>1</v>
      </c>
      <c r="H290" s="2">
        <v>106.47</v>
      </c>
      <c r="I290" s="3">
        <v>0.1</v>
      </c>
      <c r="J290" s="2">
        <v>95.82</v>
      </c>
      <c r="K290" t="s">
        <v>61</v>
      </c>
    </row>
    <row r="291" spans="1:11">
      <c r="A291" t="s">
        <v>586</v>
      </c>
      <c r="B291" s="1">
        <v>45851</v>
      </c>
      <c r="C291" t="s">
        <v>587</v>
      </c>
      <c r="D291" t="s">
        <v>26</v>
      </c>
      <c r="E291" t="s">
        <v>25</v>
      </c>
      <c r="F291" t="s">
        <v>38</v>
      </c>
      <c r="G291">
        <v>1</v>
      </c>
      <c r="H291" s="2">
        <v>139.01</v>
      </c>
      <c r="I291" s="3">
        <v>0.15</v>
      </c>
      <c r="J291" s="2">
        <v>118.16</v>
      </c>
      <c r="K291" t="s">
        <v>79</v>
      </c>
    </row>
    <row r="292" spans="1:11">
      <c r="A292" t="s">
        <v>588</v>
      </c>
      <c r="B292" s="1">
        <v>45749</v>
      </c>
      <c r="C292" t="s">
        <v>589</v>
      </c>
      <c r="D292" t="s">
        <v>18</v>
      </c>
      <c r="E292" t="s">
        <v>21</v>
      </c>
      <c r="F292" t="s">
        <v>71</v>
      </c>
      <c r="G292">
        <v>1</v>
      </c>
      <c r="H292" s="2">
        <v>61.55</v>
      </c>
      <c r="I292" s="3">
        <v>0</v>
      </c>
      <c r="J292" s="2">
        <v>61.55</v>
      </c>
      <c r="K292" t="s">
        <v>61</v>
      </c>
    </row>
    <row r="293" spans="1:11">
      <c r="A293" t="s">
        <v>590</v>
      </c>
      <c r="B293" s="1">
        <v>45895</v>
      </c>
      <c r="C293" t="s">
        <v>110</v>
      </c>
      <c r="D293" t="s">
        <v>22</v>
      </c>
      <c r="E293" t="s">
        <v>29</v>
      </c>
      <c r="F293" t="s">
        <v>92</v>
      </c>
      <c r="G293">
        <v>2</v>
      </c>
      <c r="H293" s="2">
        <v>54.45</v>
      </c>
      <c r="I293" s="3">
        <v>0.1</v>
      </c>
      <c r="J293" s="2">
        <v>98.01</v>
      </c>
      <c r="K293" t="s">
        <v>61</v>
      </c>
    </row>
    <row r="294" spans="1:11">
      <c r="A294" t="s">
        <v>591</v>
      </c>
      <c r="B294" s="1">
        <v>45835</v>
      </c>
      <c r="C294" t="s">
        <v>592</v>
      </c>
      <c r="D294" t="s">
        <v>30</v>
      </c>
      <c r="E294" t="s">
        <v>17</v>
      </c>
      <c r="F294" t="s">
        <v>27</v>
      </c>
      <c r="G294">
        <v>1</v>
      </c>
      <c r="H294" s="2">
        <v>68.400000000000006</v>
      </c>
      <c r="I294" s="3">
        <v>0</v>
      </c>
      <c r="J294" s="2">
        <v>68.400000000000006</v>
      </c>
      <c r="K294" t="s">
        <v>56</v>
      </c>
    </row>
    <row r="295" spans="1:11">
      <c r="A295" t="s">
        <v>593</v>
      </c>
      <c r="B295" s="1">
        <v>45666</v>
      </c>
      <c r="C295" t="s">
        <v>294</v>
      </c>
      <c r="D295" t="s">
        <v>18</v>
      </c>
      <c r="E295" t="s">
        <v>33</v>
      </c>
      <c r="F295" t="s">
        <v>31</v>
      </c>
      <c r="G295">
        <v>1</v>
      </c>
      <c r="H295" s="2">
        <v>65.36</v>
      </c>
      <c r="I295" s="3">
        <v>0</v>
      </c>
      <c r="J295" s="2">
        <v>65.36</v>
      </c>
      <c r="K295" t="s">
        <v>79</v>
      </c>
    </row>
    <row r="296" spans="1:11">
      <c r="A296" t="s">
        <v>594</v>
      </c>
      <c r="B296" s="1">
        <v>45680</v>
      </c>
      <c r="C296" t="s">
        <v>120</v>
      </c>
      <c r="D296" t="s">
        <v>26</v>
      </c>
      <c r="E296" t="s">
        <v>25</v>
      </c>
      <c r="F296" t="s">
        <v>38</v>
      </c>
      <c r="G296">
        <v>1</v>
      </c>
      <c r="H296" s="2">
        <v>122.35</v>
      </c>
      <c r="I296" s="3">
        <v>0</v>
      </c>
      <c r="J296" s="2">
        <v>122.35</v>
      </c>
      <c r="K296" t="s">
        <v>79</v>
      </c>
    </row>
    <row r="297" spans="1:11">
      <c r="A297" t="s">
        <v>595</v>
      </c>
      <c r="B297" s="1">
        <v>45952</v>
      </c>
      <c r="C297" t="s">
        <v>596</v>
      </c>
      <c r="D297" t="s">
        <v>26</v>
      </c>
      <c r="E297" t="s">
        <v>25</v>
      </c>
      <c r="F297" t="s">
        <v>36</v>
      </c>
      <c r="G297">
        <v>2</v>
      </c>
      <c r="H297" s="2">
        <v>98.34</v>
      </c>
      <c r="I297" s="3">
        <v>0.05</v>
      </c>
      <c r="J297" s="2">
        <v>186.85</v>
      </c>
      <c r="K297" t="s">
        <v>79</v>
      </c>
    </row>
    <row r="298" spans="1:11">
      <c r="A298" t="s">
        <v>597</v>
      </c>
      <c r="B298" s="1">
        <v>45996</v>
      </c>
      <c r="C298" t="s">
        <v>330</v>
      </c>
      <c r="D298" t="s">
        <v>22</v>
      </c>
      <c r="E298" t="s">
        <v>21</v>
      </c>
      <c r="F298" t="s">
        <v>71</v>
      </c>
      <c r="G298">
        <v>1</v>
      </c>
      <c r="H298" s="2">
        <v>65.489999999999995</v>
      </c>
      <c r="I298" s="3">
        <v>0</v>
      </c>
      <c r="J298" s="2">
        <v>65.489999999999995</v>
      </c>
      <c r="K298" t="s">
        <v>56</v>
      </c>
    </row>
    <row r="299" spans="1:11">
      <c r="A299" t="s">
        <v>598</v>
      </c>
      <c r="B299" s="1">
        <v>46005</v>
      </c>
      <c r="C299" t="s">
        <v>599</v>
      </c>
      <c r="D299" t="s">
        <v>26</v>
      </c>
      <c r="E299" t="s">
        <v>25</v>
      </c>
      <c r="F299" t="s">
        <v>38</v>
      </c>
      <c r="G299">
        <v>2</v>
      </c>
      <c r="H299" s="2">
        <v>102.99</v>
      </c>
      <c r="I299" s="3">
        <v>0.05</v>
      </c>
      <c r="J299" s="2">
        <v>195.68</v>
      </c>
      <c r="K299" t="s">
        <v>56</v>
      </c>
    </row>
    <row r="300" spans="1:11">
      <c r="A300" t="s">
        <v>600</v>
      </c>
      <c r="B300" s="1">
        <v>45871</v>
      </c>
      <c r="C300" t="s">
        <v>298</v>
      </c>
      <c r="D300" t="s">
        <v>22</v>
      </c>
      <c r="E300" t="s">
        <v>25</v>
      </c>
      <c r="F300" t="s">
        <v>38</v>
      </c>
      <c r="G300">
        <v>1</v>
      </c>
      <c r="H300" s="2">
        <v>115.93</v>
      </c>
      <c r="I300" s="3">
        <v>0.15</v>
      </c>
      <c r="J300" s="2">
        <v>98.54</v>
      </c>
      <c r="K300" t="s">
        <v>79</v>
      </c>
    </row>
    <row r="301" spans="1:11">
      <c r="A301" t="s">
        <v>601</v>
      </c>
      <c r="B301" s="1">
        <v>45811</v>
      </c>
      <c r="C301" t="s">
        <v>370</v>
      </c>
      <c r="D301" t="s">
        <v>30</v>
      </c>
      <c r="E301" t="s">
        <v>25</v>
      </c>
      <c r="F301" t="s">
        <v>78</v>
      </c>
      <c r="G301">
        <v>1</v>
      </c>
      <c r="H301" s="2">
        <v>39.11</v>
      </c>
      <c r="I301" s="3">
        <v>0</v>
      </c>
      <c r="J301" s="2">
        <v>39.11</v>
      </c>
      <c r="K301" t="s">
        <v>61</v>
      </c>
    </row>
    <row r="302" spans="1:11">
      <c r="A302" t="s">
        <v>602</v>
      </c>
      <c r="B302" s="1">
        <v>45943</v>
      </c>
      <c r="C302" t="s">
        <v>112</v>
      </c>
      <c r="D302" t="s">
        <v>18</v>
      </c>
      <c r="E302" t="s">
        <v>21</v>
      </c>
      <c r="F302" t="s">
        <v>71</v>
      </c>
      <c r="G302">
        <v>1</v>
      </c>
      <c r="H302" s="2">
        <v>64.180000000000007</v>
      </c>
      <c r="I302" s="3">
        <v>0</v>
      </c>
      <c r="J302" s="2">
        <v>64.180000000000007</v>
      </c>
      <c r="K302" t="s">
        <v>61</v>
      </c>
    </row>
    <row r="303" spans="1:11">
      <c r="A303" t="s">
        <v>603</v>
      </c>
      <c r="B303" s="1">
        <v>45847</v>
      </c>
      <c r="C303" t="s">
        <v>604</v>
      </c>
      <c r="D303" t="s">
        <v>30</v>
      </c>
      <c r="E303" t="s">
        <v>17</v>
      </c>
      <c r="F303" t="s">
        <v>23</v>
      </c>
      <c r="G303">
        <v>1</v>
      </c>
      <c r="H303" s="2">
        <v>144.96</v>
      </c>
      <c r="I303" s="3">
        <v>0</v>
      </c>
      <c r="J303" s="2">
        <v>144.96</v>
      </c>
      <c r="K303" t="s">
        <v>56</v>
      </c>
    </row>
    <row r="304" spans="1:11">
      <c r="A304" t="s">
        <v>605</v>
      </c>
      <c r="B304" s="1">
        <v>45967</v>
      </c>
      <c r="C304" t="s">
        <v>606</v>
      </c>
      <c r="D304" t="s">
        <v>22</v>
      </c>
      <c r="E304" t="s">
        <v>29</v>
      </c>
      <c r="F304" t="s">
        <v>68</v>
      </c>
      <c r="G304">
        <v>1</v>
      </c>
      <c r="H304" s="2">
        <v>39.33</v>
      </c>
      <c r="I304" s="3">
        <v>0.15</v>
      </c>
      <c r="J304" s="2">
        <v>33.43</v>
      </c>
      <c r="K304" t="s">
        <v>61</v>
      </c>
    </row>
    <row r="305" spans="1:11">
      <c r="A305" t="s">
        <v>607</v>
      </c>
      <c r="B305" s="1">
        <v>45764</v>
      </c>
      <c r="C305" t="s">
        <v>608</v>
      </c>
      <c r="D305" t="s">
        <v>18</v>
      </c>
      <c r="E305" t="s">
        <v>25</v>
      </c>
      <c r="F305" t="s">
        <v>36</v>
      </c>
      <c r="G305">
        <v>1</v>
      </c>
      <c r="H305" s="2">
        <v>102.35</v>
      </c>
      <c r="I305" s="3">
        <v>0</v>
      </c>
      <c r="J305" s="2">
        <v>102.35</v>
      </c>
      <c r="K305" t="s">
        <v>56</v>
      </c>
    </row>
    <row r="306" spans="1:11">
      <c r="A306" t="s">
        <v>609</v>
      </c>
      <c r="B306" s="1">
        <v>45903</v>
      </c>
      <c r="C306" t="s">
        <v>102</v>
      </c>
      <c r="D306" t="s">
        <v>26</v>
      </c>
      <c r="E306" t="s">
        <v>33</v>
      </c>
      <c r="F306" t="s">
        <v>31</v>
      </c>
      <c r="G306">
        <v>2</v>
      </c>
      <c r="H306" s="2">
        <v>80.09</v>
      </c>
      <c r="I306" s="3">
        <v>0.1</v>
      </c>
      <c r="J306" s="2">
        <v>144.16</v>
      </c>
      <c r="K306" t="s">
        <v>61</v>
      </c>
    </row>
    <row r="307" spans="1:11">
      <c r="A307" t="s">
        <v>610</v>
      </c>
      <c r="B307" s="1">
        <v>45852</v>
      </c>
      <c r="C307" t="s">
        <v>611</v>
      </c>
      <c r="D307" t="s">
        <v>30</v>
      </c>
      <c r="E307" t="s">
        <v>21</v>
      </c>
      <c r="F307" t="s">
        <v>40</v>
      </c>
      <c r="G307">
        <v>1</v>
      </c>
      <c r="H307" s="2">
        <v>47.46</v>
      </c>
      <c r="I307" s="3">
        <v>0.05</v>
      </c>
      <c r="J307" s="2">
        <v>45.09</v>
      </c>
      <c r="K307" t="s">
        <v>61</v>
      </c>
    </row>
    <row r="308" spans="1:11">
      <c r="A308" t="s">
        <v>612</v>
      </c>
      <c r="B308" s="1">
        <v>45708</v>
      </c>
      <c r="C308" t="s">
        <v>481</v>
      </c>
      <c r="D308" t="s">
        <v>26</v>
      </c>
      <c r="E308" t="s">
        <v>25</v>
      </c>
      <c r="F308" t="s">
        <v>78</v>
      </c>
      <c r="G308">
        <v>1</v>
      </c>
      <c r="H308" s="2">
        <v>43.96</v>
      </c>
      <c r="I308" s="3">
        <v>0</v>
      </c>
      <c r="J308" s="2">
        <v>43.96</v>
      </c>
      <c r="K308" t="s">
        <v>61</v>
      </c>
    </row>
    <row r="309" spans="1:11">
      <c r="A309" t="s">
        <v>613</v>
      </c>
      <c r="B309" s="1">
        <v>45681</v>
      </c>
      <c r="C309" t="s">
        <v>614</v>
      </c>
      <c r="D309" t="s">
        <v>30</v>
      </c>
      <c r="E309" t="s">
        <v>29</v>
      </c>
      <c r="F309" t="s">
        <v>68</v>
      </c>
      <c r="G309">
        <v>3</v>
      </c>
      <c r="H309" s="2">
        <v>49.26</v>
      </c>
      <c r="I309" s="3">
        <v>0</v>
      </c>
      <c r="J309" s="2">
        <v>147.78</v>
      </c>
      <c r="K309" t="s">
        <v>61</v>
      </c>
    </row>
    <row r="310" spans="1:11">
      <c r="A310" t="s">
        <v>615</v>
      </c>
      <c r="B310" s="1">
        <v>45736</v>
      </c>
      <c r="C310" t="s">
        <v>616</v>
      </c>
      <c r="D310" t="s">
        <v>26</v>
      </c>
      <c r="E310" t="s">
        <v>33</v>
      </c>
      <c r="F310" t="s">
        <v>31</v>
      </c>
      <c r="G310">
        <v>1</v>
      </c>
      <c r="H310" s="2">
        <v>72.180000000000007</v>
      </c>
      <c r="I310" s="3">
        <v>0</v>
      </c>
      <c r="J310" s="2">
        <v>72.180000000000007</v>
      </c>
      <c r="K310" t="s">
        <v>61</v>
      </c>
    </row>
    <row r="311" spans="1:11">
      <c r="A311" t="s">
        <v>617</v>
      </c>
      <c r="B311" s="1">
        <v>45908</v>
      </c>
      <c r="C311" t="s">
        <v>618</v>
      </c>
      <c r="D311" t="s">
        <v>22</v>
      </c>
      <c r="E311" t="s">
        <v>25</v>
      </c>
      <c r="F311" t="s">
        <v>78</v>
      </c>
      <c r="G311">
        <v>2</v>
      </c>
      <c r="H311" s="2">
        <v>39.46</v>
      </c>
      <c r="I311" s="3">
        <v>0</v>
      </c>
      <c r="J311" s="2">
        <v>78.92</v>
      </c>
      <c r="K311" t="s">
        <v>79</v>
      </c>
    </row>
    <row r="312" spans="1:11">
      <c r="A312" t="s">
        <v>619</v>
      </c>
      <c r="B312" s="1">
        <v>45937</v>
      </c>
      <c r="C312" t="s">
        <v>620</v>
      </c>
      <c r="D312" t="s">
        <v>18</v>
      </c>
      <c r="E312" t="s">
        <v>21</v>
      </c>
      <c r="F312" t="s">
        <v>40</v>
      </c>
      <c r="G312">
        <v>1</v>
      </c>
      <c r="H312" s="2">
        <v>56.03</v>
      </c>
      <c r="I312" s="3">
        <v>0</v>
      </c>
      <c r="J312" s="2">
        <v>56.03</v>
      </c>
      <c r="K312" t="s">
        <v>79</v>
      </c>
    </row>
    <row r="313" spans="1:11">
      <c r="A313" t="s">
        <v>621</v>
      </c>
      <c r="B313" s="1">
        <v>46000</v>
      </c>
      <c r="C313" t="s">
        <v>622</v>
      </c>
      <c r="D313" t="s">
        <v>22</v>
      </c>
      <c r="E313" t="s">
        <v>17</v>
      </c>
      <c r="F313" t="s">
        <v>19</v>
      </c>
      <c r="G313">
        <v>2</v>
      </c>
      <c r="H313" s="2">
        <v>77.900000000000006</v>
      </c>
      <c r="I313" s="3">
        <v>0</v>
      </c>
      <c r="J313" s="2">
        <v>155.80000000000001</v>
      </c>
      <c r="K313" t="s">
        <v>79</v>
      </c>
    </row>
    <row r="314" spans="1:11">
      <c r="A314" t="s">
        <v>623</v>
      </c>
      <c r="B314" s="1">
        <v>45769</v>
      </c>
      <c r="C314" t="s">
        <v>318</v>
      </c>
      <c r="D314" t="s">
        <v>30</v>
      </c>
      <c r="E314" t="s">
        <v>21</v>
      </c>
      <c r="F314" t="s">
        <v>71</v>
      </c>
      <c r="G314">
        <v>1</v>
      </c>
      <c r="H314" s="2">
        <v>60.03</v>
      </c>
      <c r="I314" s="3">
        <v>0.15</v>
      </c>
      <c r="J314" s="2">
        <v>51.03</v>
      </c>
      <c r="K314" t="s">
        <v>79</v>
      </c>
    </row>
    <row r="315" spans="1:11">
      <c r="A315" t="s">
        <v>624</v>
      </c>
      <c r="B315" s="1">
        <v>45661</v>
      </c>
      <c r="C315" t="s">
        <v>625</v>
      </c>
      <c r="D315" t="s">
        <v>26</v>
      </c>
      <c r="E315" t="s">
        <v>21</v>
      </c>
      <c r="F315" t="s">
        <v>71</v>
      </c>
      <c r="G315">
        <v>2</v>
      </c>
      <c r="H315" s="2">
        <v>58.92</v>
      </c>
      <c r="I315" s="3">
        <v>0.15</v>
      </c>
      <c r="J315" s="2">
        <v>100.16</v>
      </c>
      <c r="K315" t="s">
        <v>79</v>
      </c>
    </row>
    <row r="316" spans="1:11">
      <c r="A316" t="s">
        <v>626</v>
      </c>
      <c r="B316" s="1">
        <v>45915</v>
      </c>
      <c r="C316" t="s">
        <v>627</v>
      </c>
      <c r="D316" t="s">
        <v>18</v>
      </c>
      <c r="E316" t="s">
        <v>25</v>
      </c>
      <c r="F316" t="s">
        <v>78</v>
      </c>
      <c r="G316">
        <v>2</v>
      </c>
      <c r="H316" s="2">
        <v>43.53</v>
      </c>
      <c r="I316" s="3">
        <v>0</v>
      </c>
      <c r="J316" s="2">
        <v>87.06</v>
      </c>
      <c r="K316" t="s">
        <v>56</v>
      </c>
    </row>
    <row r="317" spans="1:11">
      <c r="A317" t="s">
        <v>628</v>
      </c>
      <c r="B317" s="1">
        <v>45734</v>
      </c>
      <c r="C317" t="s">
        <v>94</v>
      </c>
      <c r="D317" t="s">
        <v>30</v>
      </c>
      <c r="E317" t="s">
        <v>33</v>
      </c>
      <c r="F317" t="s">
        <v>31</v>
      </c>
      <c r="G317">
        <v>1</v>
      </c>
      <c r="H317" s="2">
        <v>75.760000000000005</v>
      </c>
      <c r="I317" s="3">
        <v>0.05</v>
      </c>
      <c r="J317" s="2">
        <v>71.97</v>
      </c>
      <c r="K317" t="s">
        <v>79</v>
      </c>
    </row>
    <row r="318" spans="1:11">
      <c r="A318" t="s">
        <v>629</v>
      </c>
      <c r="B318" s="1">
        <v>45849</v>
      </c>
      <c r="C318" t="s">
        <v>630</v>
      </c>
      <c r="D318" t="s">
        <v>18</v>
      </c>
      <c r="E318" t="s">
        <v>25</v>
      </c>
      <c r="F318" t="s">
        <v>38</v>
      </c>
      <c r="G318">
        <v>1</v>
      </c>
      <c r="H318" s="2">
        <v>110.7</v>
      </c>
      <c r="I318" s="3">
        <v>0</v>
      </c>
      <c r="J318" s="2">
        <v>110.7</v>
      </c>
      <c r="K318" t="s">
        <v>56</v>
      </c>
    </row>
    <row r="319" spans="1:11">
      <c r="A319" t="s">
        <v>631</v>
      </c>
      <c r="B319" s="1">
        <v>45990</v>
      </c>
      <c r="C319" t="s">
        <v>632</v>
      </c>
      <c r="D319" t="s">
        <v>18</v>
      </c>
      <c r="E319" t="s">
        <v>17</v>
      </c>
      <c r="F319" t="s">
        <v>19</v>
      </c>
      <c r="G319">
        <v>1</v>
      </c>
      <c r="H319" s="2">
        <v>77.040000000000006</v>
      </c>
      <c r="I319" s="3">
        <v>0.15</v>
      </c>
      <c r="J319" s="2">
        <v>65.48</v>
      </c>
      <c r="K319" t="s">
        <v>56</v>
      </c>
    </row>
    <row r="320" spans="1:11">
      <c r="A320" t="s">
        <v>633</v>
      </c>
      <c r="B320" s="1">
        <v>45662</v>
      </c>
      <c r="C320" t="s">
        <v>467</v>
      </c>
      <c r="D320" t="s">
        <v>18</v>
      </c>
      <c r="E320" t="s">
        <v>25</v>
      </c>
      <c r="F320" t="s">
        <v>78</v>
      </c>
      <c r="G320">
        <v>1</v>
      </c>
      <c r="H320" s="2">
        <v>39.58</v>
      </c>
      <c r="I320" s="3">
        <v>0.1</v>
      </c>
      <c r="J320" s="2">
        <v>35.619999999999997</v>
      </c>
      <c r="K320" t="s">
        <v>56</v>
      </c>
    </row>
    <row r="321" spans="1:11">
      <c r="A321" t="s">
        <v>634</v>
      </c>
      <c r="B321" s="1">
        <v>45679</v>
      </c>
      <c r="C321" t="s">
        <v>635</v>
      </c>
      <c r="D321" t="s">
        <v>26</v>
      </c>
      <c r="E321" t="s">
        <v>33</v>
      </c>
      <c r="F321" t="s">
        <v>31</v>
      </c>
      <c r="G321">
        <v>1</v>
      </c>
      <c r="H321" s="2">
        <v>84.1</v>
      </c>
      <c r="I321" s="3">
        <v>0.15</v>
      </c>
      <c r="J321" s="2">
        <v>71.48</v>
      </c>
      <c r="K321" t="s">
        <v>79</v>
      </c>
    </row>
    <row r="322" spans="1:11">
      <c r="A322" t="s">
        <v>636</v>
      </c>
      <c r="B322" s="1">
        <v>45696</v>
      </c>
      <c r="C322" t="s">
        <v>340</v>
      </c>
      <c r="D322" t="s">
        <v>22</v>
      </c>
      <c r="E322" t="s">
        <v>29</v>
      </c>
      <c r="F322" t="s">
        <v>92</v>
      </c>
      <c r="G322">
        <v>3</v>
      </c>
      <c r="H322" s="2">
        <v>63.07</v>
      </c>
      <c r="I322" s="3">
        <v>0.15</v>
      </c>
      <c r="J322" s="2">
        <v>160.83000000000001</v>
      </c>
      <c r="K322" t="s">
        <v>61</v>
      </c>
    </row>
    <row r="323" spans="1:11">
      <c r="A323" t="s">
        <v>637</v>
      </c>
      <c r="B323" s="1">
        <v>45666</v>
      </c>
      <c r="C323" t="s">
        <v>638</v>
      </c>
      <c r="D323" t="s">
        <v>26</v>
      </c>
      <c r="E323" t="s">
        <v>33</v>
      </c>
      <c r="F323" t="s">
        <v>31</v>
      </c>
      <c r="G323">
        <v>2</v>
      </c>
      <c r="H323" s="2">
        <v>81.27</v>
      </c>
      <c r="I323" s="3">
        <v>0.1</v>
      </c>
      <c r="J323" s="2">
        <v>146.29</v>
      </c>
      <c r="K323" t="s">
        <v>79</v>
      </c>
    </row>
    <row r="324" spans="1:11">
      <c r="A324" t="s">
        <v>639</v>
      </c>
      <c r="B324" s="1">
        <v>45946</v>
      </c>
      <c r="C324" t="s">
        <v>467</v>
      </c>
      <c r="D324" t="s">
        <v>30</v>
      </c>
      <c r="E324" t="s">
        <v>33</v>
      </c>
      <c r="F324" t="s">
        <v>31</v>
      </c>
      <c r="G324">
        <v>2</v>
      </c>
      <c r="H324" s="2">
        <v>83.64</v>
      </c>
      <c r="I324" s="3">
        <v>0.15</v>
      </c>
      <c r="J324" s="2">
        <v>142.19</v>
      </c>
      <c r="K324" t="s">
        <v>56</v>
      </c>
    </row>
    <row r="325" spans="1:11">
      <c r="A325" t="s">
        <v>640</v>
      </c>
      <c r="B325" s="1">
        <v>45729</v>
      </c>
      <c r="C325" t="s">
        <v>641</v>
      </c>
      <c r="D325" t="s">
        <v>18</v>
      </c>
      <c r="E325" t="s">
        <v>25</v>
      </c>
      <c r="F325" t="s">
        <v>78</v>
      </c>
      <c r="G325">
        <v>2</v>
      </c>
      <c r="H325" s="2">
        <v>39.6</v>
      </c>
      <c r="I325" s="3">
        <v>0.05</v>
      </c>
      <c r="J325" s="2">
        <v>75.239999999999995</v>
      </c>
      <c r="K325" t="s">
        <v>61</v>
      </c>
    </row>
    <row r="326" spans="1:11">
      <c r="A326" t="s">
        <v>642</v>
      </c>
      <c r="B326" s="1">
        <v>45776</v>
      </c>
      <c r="C326" t="s">
        <v>220</v>
      </c>
      <c r="D326" t="s">
        <v>26</v>
      </c>
      <c r="E326" t="s">
        <v>17</v>
      </c>
      <c r="F326" t="s">
        <v>23</v>
      </c>
      <c r="G326">
        <v>1</v>
      </c>
      <c r="H326" s="2">
        <v>142.38999999999999</v>
      </c>
      <c r="I326" s="3">
        <v>0.15</v>
      </c>
      <c r="J326" s="2">
        <v>121.03</v>
      </c>
      <c r="K326" t="s">
        <v>79</v>
      </c>
    </row>
    <row r="327" spans="1:11">
      <c r="A327" t="s">
        <v>643</v>
      </c>
      <c r="B327" s="1">
        <v>45982</v>
      </c>
      <c r="C327" t="s">
        <v>644</v>
      </c>
      <c r="D327" t="s">
        <v>30</v>
      </c>
      <c r="E327" t="s">
        <v>33</v>
      </c>
      <c r="F327" t="s">
        <v>34</v>
      </c>
      <c r="G327">
        <v>2</v>
      </c>
      <c r="H327" s="2">
        <v>28.96</v>
      </c>
      <c r="I327" s="3">
        <v>0</v>
      </c>
      <c r="J327" s="2">
        <v>57.92</v>
      </c>
      <c r="K327" t="s">
        <v>61</v>
      </c>
    </row>
    <row r="328" spans="1:11">
      <c r="A328" t="s">
        <v>645</v>
      </c>
      <c r="B328" s="1">
        <v>45753</v>
      </c>
      <c r="C328" t="s">
        <v>174</v>
      </c>
      <c r="D328" t="s">
        <v>22</v>
      </c>
      <c r="E328" t="s">
        <v>29</v>
      </c>
      <c r="F328" t="s">
        <v>92</v>
      </c>
      <c r="G328">
        <v>2</v>
      </c>
      <c r="H328" s="2">
        <v>53.65</v>
      </c>
      <c r="I328" s="3">
        <v>0.15</v>
      </c>
      <c r="J328" s="2">
        <v>91.2</v>
      </c>
      <c r="K328" t="s">
        <v>56</v>
      </c>
    </row>
    <row r="329" spans="1:11">
      <c r="A329" t="s">
        <v>646</v>
      </c>
      <c r="B329" s="1">
        <v>45695</v>
      </c>
      <c r="C329" t="s">
        <v>647</v>
      </c>
      <c r="D329" t="s">
        <v>26</v>
      </c>
      <c r="E329" t="s">
        <v>17</v>
      </c>
      <c r="F329" t="s">
        <v>23</v>
      </c>
      <c r="G329">
        <v>1</v>
      </c>
      <c r="H329" s="2">
        <v>125.83</v>
      </c>
      <c r="I329" s="3">
        <v>0</v>
      </c>
      <c r="J329" s="2">
        <v>125.83</v>
      </c>
      <c r="K329" t="s">
        <v>61</v>
      </c>
    </row>
    <row r="330" spans="1:11">
      <c r="A330" t="s">
        <v>648</v>
      </c>
      <c r="B330" s="1">
        <v>45712</v>
      </c>
      <c r="C330" t="s">
        <v>649</v>
      </c>
      <c r="D330" t="s">
        <v>18</v>
      </c>
      <c r="E330" t="s">
        <v>17</v>
      </c>
      <c r="F330" t="s">
        <v>23</v>
      </c>
      <c r="G330">
        <v>1</v>
      </c>
      <c r="H330" s="2">
        <v>122.77</v>
      </c>
      <c r="I330" s="3">
        <v>0.05</v>
      </c>
      <c r="J330" s="2">
        <v>116.63</v>
      </c>
      <c r="K330" t="s">
        <v>79</v>
      </c>
    </row>
    <row r="331" spans="1:11">
      <c r="A331" t="s">
        <v>650</v>
      </c>
      <c r="B331" s="1">
        <v>45702</v>
      </c>
      <c r="C331" t="s">
        <v>651</v>
      </c>
      <c r="D331" t="s">
        <v>18</v>
      </c>
      <c r="E331" t="s">
        <v>17</v>
      </c>
      <c r="F331" t="s">
        <v>27</v>
      </c>
      <c r="G331">
        <v>1</v>
      </c>
      <c r="H331" s="2">
        <v>60.99</v>
      </c>
      <c r="I331" s="3">
        <v>0.15</v>
      </c>
      <c r="J331" s="2">
        <v>51.84</v>
      </c>
      <c r="K331" t="s">
        <v>79</v>
      </c>
    </row>
    <row r="332" spans="1:11">
      <c r="A332" t="s">
        <v>652</v>
      </c>
      <c r="B332" s="1">
        <v>45703</v>
      </c>
      <c r="C332" t="s">
        <v>653</v>
      </c>
      <c r="D332" t="s">
        <v>18</v>
      </c>
      <c r="E332" t="s">
        <v>25</v>
      </c>
      <c r="F332" t="s">
        <v>36</v>
      </c>
      <c r="G332">
        <v>2</v>
      </c>
      <c r="H332" s="2">
        <v>93.18</v>
      </c>
      <c r="I332" s="3">
        <v>0.05</v>
      </c>
      <c r="J332" s="2">
        <v>177.04</v>
      </c>
      <c r="K332" t="s">
        <v>61</v>
      </c>
    </row>
    <row r="333" spans="1:11">
      <c r="A333" t="s">
        <v>654</v>
      </c>
      <c r="B333" s="1">
        <v>45869</v>
      </c>
      <c r="C333" t="s">
        <v>655</v>
      </c>
      <c r="D333" t="s">
        <v>22</v>
      </c>
      <c r="E333" t="s">
        <v>25</v>
      </c>
      <c r="F333" t="s">
        <v>38</v>
      </c>
      <c r="G333">
        <v>2</v>
      </c>
      <c r="H333" s="2">
        <v>129.61000000000001</v>
      </c>
      <c r="I333" s="3">
        <v>0.15</v>
      </c>
      <c r="J333" s="2">
        <v>220.34</v>
      </c>
      <c r="K333" t="s">
        <v>56</v>
      </c>
    </row>
    <row r="334" spans="1:11">
      <c r="A334" t="s">
        <v>656</v>
      </c>
      <c r="B334" s="1">
        <v>45852</v>
      </c>
      <c r="C334" t="s">
        <v>548</v>
      </c>
      <c r="D334" t="s">
        <v>18</v>
      </c>
      <c r="E334" t="s">
        <v>17</v>
      </c>
      <c r="F334" t="s">
        <v>27</v>
      </c>
      <c r="G334">
        <v>1</v>
      </c>
      <c r="H334" s="2">
        <v>56.01</v>
      </c>
      <c r="I334" s="3">
        <v>0.1</v>
      </c>
      <c r="J334" s="2">
        <v>50.41</v>
      </c>
      <c r="K334" t="s">
        <v>79</v>
      </c>
    </row>
    <row r="335" spans="1:11">
      <c r="A335" t="s">
        <v>657</v>
      </c>
      <c r="B335" s="1">
        <v>45880</v>
      </c>
      <c r="C335" t="s">
        <v>658</v>
      </c>
      <c r="D335" t="s">
        <v>26</v>
      </c>
      <c r="E335" t="s">
        <v>33</v>
      </c>
      <c r="F335" t="s">
        <v>34</v>
      </c>
      <c r="G335">
        <v>1</v>
      </c>
      <c r="H335" s="2">
        <v>29.28</v>
      </c>
      <c r="I335" s="3">
        <v>0</v>
      </c>
      <c r="J335" s="2">
        <v>29.28</v>
      </c>
      <c r="K335" t="s">
        <v>79</v>
      </c>
    </row>
    <row r="336" spans="1:11">
      <c r="A336" t="s">
        <v>659</v>
      </c>
      <c r="B336" s="1">
        <v>45978</v>
      </c>
      <c r="C336" t="s">
        <v>660</v>
      </c>
      <c r="D336" t="s">
        <v>26</v>
      </c>
      <c r="E336" t="s">
        <v>21</v>
      </c>
      <c r="F336" t="s">
        <v>40</v>
      </c>
      <c r="G336">
        <v>2</v>
      </c>
      <c r="H336" s="2">
        <v>44.81</v>
      </c>
      <c r="I336" s="3">
        <v>0</v>
      </c>
      <c r="J336" s="2">
        <v>89.62</v>
      </c>
      <c r="K336" t="s">
        <v>79</v>
      </c>
    </row>
    <row r="337" spans="1:11">
      <c r="A337" t="s">
        <v>661</v>
      </c>
      <c r="B337" s="1">
        <v>45860</v>
      </c>
      <c r="C337" t="s">
        <v>662</v>
      </c>
      <c r="D337" t="s">
        <v>26</v>
      </c>
      <c r="E337" t="s">
        <v>25</v>
      </c>
      <c r="F337" t="s">
        <v>36</v>
      </c>
      <c r="G337">
        <v>3</v>
      </c>
      <c r="H337" s="2">
        <v>86.81</v>
      </c>
      <c r="I337" s="3">
        <v>0.05</v>
      </c>
      <c r="J337" s="2">
        <v>247.41</v>
      </c>
      <c r="K337" t="s">
        <v>61</v>
      </c>
    </row>
    <row r="338" spans="1:11">
      <c r="A338" t="s">
        <v>663</v>
      </c>
      <c r="B338" s="1">
        <v>45991</v>
      </c>
      <c r="C338" t="s">
        <v>462</v>
      </c>
      <c r="D338" t="s">
        <v>26</v>
      </c>
      <c r="E338" t="s">
        <v>29</v>
      </c>
      <c r="F338" t="s">
        <v>68</v>
      </c>
      <c r="G338">
        <v>1</v>
      </c>
      <c r="H338" s="2">
        <v>43.01</v>
      </c>
      <c r="I338" s="3">
        <v>0</v>
      </c>
      <c r="J338" s="2">
        <v>43.01</v>
      </c>
      <c r="K338" t="s">
        <v>79</v>
      </c>
    </row>
    <row r="339" spans="1:11">
      <c r="A339" t="s">
        <v>664</v>
      </c>
      <c r="B339" s="1">
        <v>45861</v>
      </c>
      <c r="C339" t="s">
        <v>395</v>
      </c>
      <c r="D339" t="s">
        <v>22</v>
      </c>
      <c r="E339" t="s">
        <v>25</v>
      </c>
      <c r="F339" t="s">
        <v>36</v>
      </c>
      <c r="G339">
        <v>1</v>
      </c>
      <c r="H339" s="2">
        <v>96.06</v>
      </c>
      <c r="I339" s="3">
        <v>0.1</v>
      </c>
      <c r="J339" s="2">
        <v>86.45</v>
      </c>
      <c r="K339" t="s">
        <v>61</v>
      </c>
    </row>
    <row r="340" spans="1:11">
      <c r="A340" t="s">
        <v>665</v>
      </c>
      <c r="B340" s="1">
        <v>45850</v>
      </c>
      <c r="C340" t="s">
        <v>207</v>
      </c>
      <c r="D340" t="s">
        <v>22</v>
      </c>
      <c r="E340" t="s">
        <v>33</v>
      </c>
      <c r="F340" t="s">
        <v>34</v>
      </c>
      <c r="G340">
        <v>2</v>
      </c>
      <c r="H340" s="2">
        <v>28.41</v>
      </c>
      <c r="I340" s="3">
        <v>0</v>
      </c>
      <c r="J340" s="2">
        <v>56.82</v>
      </c>
      <c r="K340" t="s">
        <v>56</v>
      </c>
    </row>
    <row r="341" spans="1:11">
      <c r="A341" t="s">
        <v>666</v>
      </c>
      <c r="B341" s="1">
        <v>45937</v>
      </c>
      <c r="C341" t="s">
        <v>667</v>
      </c>
      <c r="D341" t="s">
        <v>30</v>
      </c>
      <c r="E341" t="s">
        <v>17</v>
      </c>
      <c r="F341" t="s">
        <v>27</v>
      </c>
      <c r="G341">
        <v>2</v>
      </c>
      <c r="H341" s="2">
        <v>60.86</v>
      </c>
      <c r="I341" s="3">
        <v>0.1</v>
      </c>
      <c r="J341" s="2">
        <v>109.55</v>
      </c>
      <c r="K341" t="s">
        <v>61</v>
      </c>
    </row>
    <row r="342" spans="1:11">
      <c r="A342" t="s">
        <v>668</v>
      </c>
      <c r="B342" s="1">
        <v>46012</v>
      </c>
      <c r="C342" t="s">
        <v>616</v>
      </c>
      <c r="D342" t="s">
        <v>22</v>
      </c>
      <c r="E342" t="s">
        <v>17</v>
      </c>
      <c r="F342" t="s">
        <v>23</v>
      </c>
      <c r="G342">
        <v>2</v>
      </c>
      <c r="H342" s="2">
        <v>143.52000000000001</v>
      </c>
      <c r="I342" s="3">
        <v>0.1</v>
      </c>
      <c r="J342" s="2">
        <v>258.33999999999997</v>
      </c>
      <c r="K342" t="s">
        <v>56</v>
      </c>
    </row>
    <row r="343" spans="1:11">
      <c r="A343" t="s">
        <v>669</v>
      </c>
      <c r="B343" s="1">
        <v>45813</v>
      </c>
      <c r="C343" t="s">
        <v>670</v>
      </c>
      <c r="D343" t="s">
        <v>18</v>
      </c>
      <c r="E343" t="s">
        <v>33</v>
      </c>
      <c r="F343" t="s">
        <v>31</v>
      </c>
      <c r="G343">
        <v>1</v>
      </c>
      <c r="H343" s="2">
        <v>66.66</v>
      </c>
      <c r="I343" s="3">
        <v>0.1</v>
      </c>
      <c r="J343" s="2">
        <v>59.99</v>
      </c>
      <c r="K343" t="s">
        <v>61</v>
      </c>
    </row>
    <row r="344" spans="1:11">
      <c r="A344" t="s">
        <v>671</v>
      </c>
      <c r="B344" s="1">
        <v>45964</v>
      </c>
      <c r="C344" t="s">
        <v>672</v>
      </c>
      <c r="D344" t="s">
        <v>18</v>
      </c>
      <c r="E344" t="s">
        <v>21</v>
      </c>
      <c r="F344" t="s">
        <v>40</v>
      </c>
      <c r="G344">
        <v>2</v>
      </c>
      <c r="H344" s="2">
        <v>50.29</v>
      </c>
      <c r="I344" s="3">
        <v>0.1</v>
      </c>
      <c r="J344" s="2">
        <v>90.52</v>
      </c>
      <c r="K344" t="s">
        <v>61</v>
      </c>
    </row>
    <row r="345" spans="1:11">
      <c r="A345" t="s">
        <v>673</v>
      </c>
      <c r="B345" s="1">
        <v>46017</v>
      </c>
      <c r="C345" t="s">
        <v>567</v>
      </c>
      <c r="D345" t="s">
        <v>26</v>
      </c>
      <c r="E345" t="s">
        <v>21</v>
      </c>
      <c r="F345" t="s">
        <v>71</v>
      </c>
      <c r="G345">
        <v>2</v>
      </c>
      <c r="H345" s="2">
        <v>79.47</v>
      </c>
      <c r="I345" s="3">
        <v>0</v>
      </c>
      <c r="J345" s="2">
        <v>158.94</v>
      </c>
      <c r="K345" t="s">
        <v>79</v>
      </c>
    </row>
    <row r="346" spans="1:11">
      <c r="A346" t="s">
        <v>674</v>
      </c>
      <c r="B346" s="1">
        <v>45989</v>
      </c>
      <c r="C346" t="s">
        <v>467</v>
      </c>
      <c r="D346" t="s">
        <v>30</v>
      </c>
      <c r="E346" t="s">
        <v>29</v>
      </c>
      <c r="F346" t="s">
        <v>68</v>
      </c>
      <c r="G346">
        <v>1</v>
      </c>
      <c r="H346" s="2">
        <v>52.86</v>
      </c>
      <c r="I346" s="3">
        <v>0.1</v>
      </c>
      <c r="J346" s="2">
        <v>47.57</v>
      </c>
      <c r="K346" t="s">
        <v>79</v>
      </c>
    </row>
    <row r="347" spans="1:11">
      <c r="A347" t="s">
        <v>675</v>
      </c>
      <c r="B347" s="1">
        <v>45663</v>
      </c>
      <c r="C347" t="s">
        <v>676</v>
      </c>
      <c r="D347" t="s">
        <v>22</v>
      </c>
      <c r="E347" t="s">
        <v>17</v>
      </c>
      <c r="F347" t="s">
        <v>23</v>
      </c>
      <c r="G347">
        <v>1</v>
      </c>
      <c r="H347" s="2">
        <v>131.38999999999999</v>
      </c>
      <c r="I347" s="3">
        <v>0.15</v>
      </c>
      <c r="J347" s="2">
        <v>111.68</v>
      </c>
      <c r="K347" t="s">
        <v>61</v>
      </c>
    </row>
    <row r="348" spans="1:11">
      <c r="A348" t="s">
        <v>677</v>
      </c>
      <c r="B348" s="1">
        <v>45849</v>
      </c>
      <c r="C348" t="s">
        <v>408</v>
      </c>
      <c r="D348" t="s">
        <v>26</v>
      </c>
      <c r="E348" t="s">
        <v>25</v>
      </c>
      <c r="F348" t="s">
        <v>38</v>
      </c>
      <c r="G348">
        <v>1</v>
      </c>
      <c r="H348" s="2">
        <v>127.84</v>
      </c>
      <c r="I348" s="3">
        <v>0.15</v>
      </c>
      <c r="J348" s="2">
        <v>108.66</v>
      </c>
      <c r="K348" t="s">
        <v>79</v>
      </c>
    </row>
    <row r="349" spans="1:11">
      <c r="A349" t="s">
        <v>678</v>
      </c>
      <c r="B349" s="1">
        <v>45905</v>
      </c>
      <c r="C349" t="s">
        <v>679</v>
      </c>
      <c r="D349" t="s">
        <v>22</v>
      </c>
      <c r="E349" t="s">
        <v>17</v>
      </c>
      <c r="F349" t="s">
        <v>23</v>
      </c>
      <c r="G349">
        <v>1</v>
      </c>
      <c r="H349" s="2">
        <v>148.84</v>
      </c>
      <c r="I349" s="3">
        <v>0</v>
      </c>
      <c r="J349" s="2">
        <v>148.84</v>
      </c>
      <c r="K349" t="s">
        <v>61</v>
      </c>
    </row>
    <row r="350" spans="1:11">
      <c r="A350" t="s">
        <v>680</v>
      </c>
      <c r="B350" s="1">
        <v>45817</v>
      </c>
      <c r="C350" t="s">
        <v>681</v>
      </c>
      <c r="D350" t="s">
        <v>30</v>
      </c>
      <c r="E350" t="s">
        <v>25</v>
      </c>
      <c r="F350" t="s">
        <v>36</v>
      </c>
      <c r="G350">
        <v>1</v>
      </c>
      <c r="H350" s="2">
        <v>81.73</v>
      </c>
      <c r="I350" s="3">
        <v>0.1</v>
      </c>
      <c r="J350" s="2">
        <v>73.56</v>
      </c>
      <c r="K350" t="s">
        <v>79</v>
      </c>
    </row>
    <row r="351" spans="1:11">
      <c r="A351" t="s">
        <v>682</v>
      </c>
      <c r="B351" s="1">
        <v>45882</v>
      </c>
      <c r="C351" t="s">
        <v>683</v>
      </c>
      <c r="D351" t="s">
        <v>18</v>
      </c>
      <c r="E351" t="s">
        <v>25</v>
      </c>
      <c r="F351" t="s">
        <v>78</v>
      </c>
      <c r="G351">
        <v>2</v>
      </c>
      <c r="H351" s="2">
        <v>37.25</v>
      </c>
      <c r="I351" s="3">
        <v>0.05</v>
      </c>
      <c r="J351" s="2">
        <v>70.77</v>
      </c>
      <c r="K351" t="s">
        <v>79</v>
      </c>
    </row>
    <row r="352" spans="1:11">
      <c r="A352" t="s">
        <v>684</v>
      </c>
      <c r="B352" s="1">
        <v>45833</v>
      </c>
      <c r="C352" t="s">
        <v>685</v>
      </c>
      <c r="D352" t="s">
        <v>22</v>
      </c>
      <c r="E352" t="s">
        <v>29</v>
      </c>
      <c r="F352" t="s">
        <v>92</v>
      </c>
      <c r="G352">
        <v>1</v>
      </c>
      <c r="H352" s="2">
        <v>61.27</v>
      </c>
      <c r="I352" s="3">
        <v>0</v>
      </c>
      <c r="J352" s="2">
        <v>61.27</v>
      </c>
      <c r="K352" t="s">
        <v>56</v>
      </c>
    </row>
    <row r="353" spans="1:11">
      <c r="A353" t="s">
        <v>686</v>
      </c>
      <c r="B353" s="1">
        <v>45739</v>
      </c>
      <c r="C353" t="s">
        <v>205</v>
      </c>
      <c r="D353" t="s">
        <v>22</v>
      </c>
      <c r="E353" t="s">
        <v>25</v>
      </c>
      <c r="F353" t="s">
        <v>36</v>
      </c>
      <c r="G353">
        <v>2</v>
      </c>
      <c r="H353" s="2">
        <v>103.8</v>
      </c>
      <c r="I353" s="3">
        <v>0</v>
      </c>
      <c r="J353" s="2">
        <v>207.6</v>
      </c>
      <c r="K353" t="s">
        <v>79</v>
      </c>
    </row>
    <row r="354" spans="1:11">
      <c r="A354" t="s">
        <v>687</v>
      </c>
      <c r="B354" s="1">
        <v>45985</v>
      </c>
      <c r="C354" t="s">
        <v>688</v>
      </c>
      <c r="D354" t="s">
        <v>30</v>
      </c>
      <c r="E354" t="s">
        <v>29</v>
      </c>
      <c r="F354" t="s">
        <v>92</v>
      </c>
      <c r="G354">
        <v>1</v>
      </c>
      <c r="H354" s="2">
        <v>47.28</v>
      </c>
      <c r="I354" s="3">
        <v>0.15</v>
      </c>
      <c r="J354" s="2">
        <v>40.19</v>
      </c>
      <c r="K354" t="s">
        <v>56</v>
      </c>
    </row>
    <row r="355" spans="1:11">
      <c r="A355" t="s">
        <v>689</v>
      </c>
      <c r="B355" s="1">
        <v>45877</v>
      </c>
      <c r="C355" t="s">
        <v>690</v>
      </c>
      <c r="D355" t="s">
        <v>18</v>
      </c>
      <c r="E355" t="s">
        <v>25</v>
      </c>
      <c r="F355" t="s">
        <v>38</v>
      </c>
      <c r="G355">
        <v>1</v>
      </c>
      <c r="H355" s="2">
        <v>109.59</v>
      </c>
      <c r="I355" s="3">
        <v>0.05</v>
      </c>
      <c r="J355" s="2">
        <v>104.11</v>
      </c>
      <c r="K355" t="s">
        <v>56</v>
      </c>
    </row>
    <row r="356" spans="1:11">
      <c r="A356" t="s">
        <v>691</v>
      </c>
      <c r="B356" s="1">
        <v>45753</v>
      </c>
      <c r="C356" t="s">
        <v>692</v>
      </c>
      <c r="D356" t="s">
        <v>26</v>
      </c>
      <c r="E356" t="s">
        <v>25</v>
      </c>
      <c r="F356" t="s">
        <v>36</v>
      </c>
      <c r="G356">
        <v>1</v>
      </c>
      <c r="H356" s="2">
        <v>89.09</v>
      </c>
      <c r="I356" s="3">
        <v>0.05</v>
      </c>
      <c r="J356" s="2">
        <v>84.64</v>
      </c>
      <c r="K356" t="s">
        <v>56</v>
      </c>
    </row>
    <row r="357" spans="1:11">
      <c r="A357" t="s">
        <v>693</v>
      </c>
      <c r="B357" s="1">
        <v>45856</v>
      </c>
      <c r="C357" t="s">
        <v>451</v>
      </c>
      <c r="D357" t="s">
        <v>22</v>
      </c>
      <c r="E357" t="s">
        <v>29</v>
      </c>
      <c r="F357" t="s">
        <v>68</v>
      </c>
      <c r="G357">
        <v>1</v>
      </c>
      <c r="H357" s="2">
        <v>39.950000000000003</v>
      </c>
      <c r="I357" s="3">
        <v>0.05</v>
      </c>
      <c r="J357" s="2">
        <v>37.950000000000003</v>
      </c>
      <c r="K357" t="s">
        <v>56</v>
      </c>
    </row>
    <row r="358" spans="1:11">
      <c r="A358" t="s">
        <v>694</v>
      </c>
      <c r="B358" s="1">
        <v>46019</v>
      </c>
      <c r="C358" t="s">
        <v>366</v>
      </c>
      <c r="D358" t="s">
        <v>18</v>
      </c>
      <c r="E358" t="s">
        <v>33</v>
      </c>
      <c r="F358" t="s">
        <v>34</v>
      </c>
      <c r="G358">
        <v>3</v>
      </c>
      <c r="H358" s="2">
        <v>30.3</v>
      </c>
      <c r="I358" s="3">
        <v>0</v>
      </c>
      <c r="J358" s="2">
        <v>90.9</v>
      </c>
      <c r="K358" t="s">
        <v>79</v>
      </c>
    </row>
    <row r="359" spans="1:11">
      <c r="A359" t="s">
        <v>695</v>
      </c>
      <c r="B359" s="1">
        <v>45814</v>
      </c>
      <c r="C359" t="s">
        <v>696</v>
      </c>
      <c r="D359" t="s">
        <v>30</v>
      </c>
      <c r="E359" t="s">
        <v>17</v>
      </c>
      <c r="F359" t="s">
        <v>23</v>
      </c>
      <c r="G359">
        <v>1</v>
      </c>
      <c r="H359" s="2">
        <v>139.16999999999999</v>
      </c>
      <c r="I359" s="3">
        <v>0.15</v>
      </c>
      <c r="J359" s="2">
        <v>118.29</v>
      </c>
      <c r="K359" t="s">
        <v>56</v>
      </c>
    </row>
    <row r="360" spans="1:11">
      <c r="A360" t="s">
        <v>697</v>
      </c>
      <c r="B360" s="1">
        <v>45728</v>
      </c>
      <c r="C360" t="s">
        <v>405</v>
      </c>
      <c r="D360" t="s">
        <v>22</v>
      </c>
      <c r="E360" t="s">
        <v>29</v>
      </c>
      <c r="F360" t="s">
        <v>68</v>
      </c>
      <c r="G360">
        <v>1</v>
      </c>
      <c r="H360" s="2">
        <v>41.01</v>
      </c>
      <c r="I360" s="3">
        <v>0.15</v>
      </c>
      <c r="J360" s="2">
        <v>34.86</v>
      </c>
      <c r="K360" t="s">
        <v>61</v>
      </c>
    </row>
    <row r="361" spans="1:11">
      <c r="A361" t="s">
        <v>698</v>
      </c>
      <c r="B361" s="1">
        <v>45805</v>
      </c>
      <c r="C361" t="s">
        <v>641</v>
      </c>
      <c r="D361" t="s">
        <v>26</v>
      </c>
      <c r="E361" t="s">
        <v>17</v>
      </c>
      <c r="F361" t="s">
        <v>27</v>
      </c>
      <c r="G361">
        <v>1</v>
      </c>
      <c r="H361" s="2">
        <v>66.540000000000006</v>
      </c>
      <c r="I361" s="3">
        <v>0.15</v>
      </c>
      <c r="J361" s="2">
        <v>56.56</v>
      </c>
      <c r="K361" t="s">
        <v>79</v>
      </c>
    </row>
    <row r="362" spans="1:11">
      <c r="A362" t="s">
        <v>699</v>
      </c>
      <c r="B362" s="1">
        <v>45906</v>
      </c>
      <c r="C362" t="s">
        <v>700</v>
      </c>
      <c r="D362" t="s">
        <v>30</v>
      </c>
      <c r="E362" t="s">
        <v>17</v>
      </c>
      <c r="F362" t="s">
        <v>27</v>
      </c>
      <c r="G362">
        <v>1</v>
      </c>
      <c r="H362" s="2">
        <v>57.63</v>
      </c>
      <c r="I362" s="3">
        <v>0.15</v>
      </c>
      <c r="J362" s="2">
        <v>48.99</v>
      </c>
      <c r="K362" t="s">
        <v>61</v>
      </c>
    </row>
    <row r="363" spans="1:11">
      <c r="A363" t="s">
        <v>701</v>
      </c>
      <c r="B363" s="1">
        <v>46008</v>
      </c>
      <c r="C363" t="s">
        <v>702</v>
      </c>
      <c r="D363" t="s">
        <v>18</v>
      </c>
      <c r="E363" t="s">
        <v>21</v>
      </c>
      <c r="F363" t="s">
        <v>40</v>
      </c>
      <c r="G363">
        <v>1</v>
      </c>
      <c r="H363" s="2">
        <v>55.23</v>
      </c>
      <c r="I363" s="3">
        <v>0.1</v>
      </c>
      <c r="J363" s="2">
        <v>49.71</v>
      </c>
      <c r="K363" t="s">
        <v>56</v>
      </c>
    </row>
    <row r="364" spans="1:11">
      <c r="A364" t="s">
        <v>703</v>
      </c>
      <c r="B364" s="1">
        <v>45673</v>
      </c>
      <c r="C364" t="s">
        <v>522</v>
      </c>
      <c r="D364" t="s">
        <v>22</v>
      </c>
      <c r="E364" t="s">
        <v>33</v>
      </c>
      <c r="F364" t="s">
        <v>31</v>
      </c>
      <c r="G364">
        <v>1</v>
      </c>
      <c r="H364" s="2">
        <v>69.61</v>
      </c>
      <c r="I364" s="3">
        <v>0.15</v>
      </c>
      <c r="J364" s="2">
        <v>59.17</v>
      </c>
      <c r="K364" t="s">
        <v>61</v>
      </c>
    </row>
    <row r="365" spans="1:11">
      <c r="A365" t="s">
        <v>704</v>
      </c>
      <c r="B365" s="1">
        <v>45947</v>
      </c>
      <c r="C365" t="s">
        <v>705</v>
      </c>
      <c r="D365" t="s">
        <v>18</v>
      </c>
      <c r="E365" t="s">
        <v>25</v>
      </c>
      <c r="F365" t="s">
        <v>78</v>
      </c>
      <c r="G365">
        <v>2</v>
      </c>
      <c r="H365" s="2">
        <v>39.520000000000003</v>
      </c>
      <c r="I365" s="3">
        <v>0.15</v>
      </c>
      <c r="J365" s="2">
        <v>67.180000000000007</v>
      </c>
      <c r="K365" t="s">
        <v>61</v>
      </c>
    </row>
    <row r="366" spans="1:11">
      <c r="A366" t="s">
        <v>706</v>
      </c>
      <c r="B366" s="1">
        <v>45936</v>
      </c>
      <c r="C366" t="s">
        <v>707</v>
      </c>
      <c r="D366" t="s">
        <v>22</v>
      </c>
      <c r="E366" t="s">
        <v>25</v>
      </c>
      <c r="F366" t="s">
        <v>36</v>
      </c>
      <c r="G366">
        <v>1</v>
      </c>
      <c r="H366" s="2">
        <v>97.88</v>
      </c>
      <c r="I366" s="3">
        <v>0.1</v>
      </c>
      <c r="J366" s="2">
        <v>88.09</v>
      </c>
      <c r="K366" t="s">
        <v>61</v>
      </c>
    </row>
    <row r="367" spans="1:11">
      <c r="A367" t="s">
        <v>708</v>
      </c>
      <c r="B367" s="1">
        <v>45710</v>
      </c>
      <c r="C367" t="s">
        <v>340</v>
      </c>
      <c r="D367" t="s">
        <v>30</v>
      </c>
      <c r="E367" t="s">
        <v>25</v>
      </c>
      <c r="F367" t="s">
        <v>78</v>
      </c>
      <c r="G367">
        <v>3</v>
      </c>
      <c r="H367" s="2">
        <v>42.82</v>
      </c>
      <c r="I367" s="3">
        <v>0.05</v>
      </c>
      <c r="J367" s="2">
        <v>122.04</v>
      </c>
      <c r="K367" t="s">
        <v>61</v>
      </c>
    </row>
    <row r="368" spans="1:11">
      <c r="A368" t="s">
        <v>709</v>
      </c>
      <c r="B368" s="1">
        <v>45836</v>
      </c>
      <c r="C368" t="s">
        <v>667</v>
      </c>
      <c r="D368" t="s">
        <v>26</v>
      </c>
      <c r="E368" t="s">
        <v>17</v>
      </c>
      <c r="F368" t="s">
        <v>23</v>
      </c>
      <c r="G368">
        <v>1</v>
      </c>
      <c r="H368" s="2">
        <v>151.96</v>
      </c>
      <c r="I368" s="3">
        <v>0</v>
      </c>
      <c r="J368" s="2">
        <v>151.96</v>
      </c>
      <c r="K368" t="s">
        <v>56</v>
      </c>
    </row>
    <row r="369" spans="1:11">
      <c r="A369" t="s">
        <v>710</v>
      </c>
      <c r="B369" s="1">
        <v>45970</v>
      </c>
      <c r="C369" t="s">
        <v>200</v>
      </c>
      <c r="D369" t="s">
        <v>18</v>
      </c>
      <c r="E369" t="s">
        <v>29</v>
      </c>
      <c r="F369" t="s">
        <v>92</v>
      </c>
      <c r="G369">
        <v>1</v>
      </c>
      <c r="H369" s="2">
        <v>57.93</v>
      </c>
      <c r="I369" s="3">
        <v>0</v>
      </c>
      <c r="J369" s="2">
        <v>57.93</v>
      </c>
      <c r="K369" t="s">
        <v>56</v>
      </c>
    </row>
    <row r="370" spans="1:11">
      <c r="A370" t="s">
        <v>711</v>
      </c>
      <c r="B370" s="1">
        <v>45837</v>
      </c>
      <c r="C370" t="s">
        <v>712</v>
      </c>
      <c r="D370" t="s">
        <v>26</v>
      </c>
      <c r="E370" t="s">
        <v>21</v>
      </c>
      <c r="F370" t="s">
        <v>71</v>
      </c>
      <c r="G370">
        <v>1</v>
      </c>
      <c r="H370" s="2">
        <v>70.92</v>
      </c>
      <c r="I370" s="3">
        <v>0.05</v>
      </c>
      <c r="J370" s="2">
        <v>67.37</v>
      </c>
      <c r="K370" t="s">
        <v>56</v>
      </c>
    </row>
    <row r="371" spans="1:11">
      <c r="A371" t="s">
        <v>713</v>
      </c>
      <c r="B371" s="1">
        <v>45794</v>
      </c>
      <c r="C371" t="s">
        <v>660</v>
      </c>
      <c r="D371" t="s">
        <v>30</v>
      </c>
      <c r="E371" t="s">
        <v>21</v>
      </c>
      <c r="F371" t="s">
        <v>71</v>
      </c>
      <c r="G371">
        <v>4</v>
      </c>
      <c r="H371" s="2">
        <v>74.12</v>
      </c>
      <c r="I371" s="3">
        <v>0</v>
      </c>
      <c r="J371" s="2">
        <v>296.48</v>
      </c>
      <c r="K371" t="s">
        <v>79</v>
      </c>
    </row>
    <row r="372" spans="1:11">
      <c r="A372" t="s">
        <v>714</v>
      </c>
      <c r="B372" s="1">
        <v>45799</v>
      </c>
      <c r="C372" t="s">
        <v>548</v>
      </c>
      <c r="D372" t="s">
        <v>26</v>
      </c>
      <c r="E372" t="s">
        <v>29</v>
      </c>
      <c r="F372" t="s">
        <v>92</v>
      </c>
      <c r="G372">
        <v>1</v>
      </c>
      <c r="H372" s="2">
        <v>62.47</v>
      </c>
      <c r="I372" s="3">
        <v>0</v>
      </c>
      <c r="J372" s="2">
        <v>62.47</v>
      </c>
      <c r="K372" t="s">
        <v>79</v>
      </c>
    </row>
    <row r="373" spans="1:11">
      <c r="A373" t="s">
        <v>715</v>
      </c>
      <c r="B373" s="1">
        <v>46004</v>
      </c>
      <c r="C373" t="s">
        <v>442</v>
      </c>
      <c r="D373" t="s">
        <v>30</v>
      </c>
      <c r="E373" t="s">
        <v>25</v>
      </c>
      <c r="F373" t="s">
        <v>38</v>
      </c>
      <c r="G373">
        <v>1</v>
      </c>
      <c r="H373" s="2">
        <v>123.83</v>
      </c>
      <c r="I373" s="3">
        <v>0.05</v>
      </c>
      <c r="J373" s="2">
        <v>117.64</v>
      </c>
      <c r="K373" t="s">
        <v>61</v>
      </c>
    </row>
    <row r="374" spans="1:11">
      <c r="A374" t="s">
        <v>716</v>
      </c>
      <c r="B374" s="1">
        <v>45696</v>
      </c>
      <c r="C374" t="s">
        <v>717</v>
      </c>
      <c r="D374" t="s">
        <v>26</v>
      </c>
      <c r="E374" t="s">
        <v>29</v>
      </c>
      <c r="F374" t="s">
        <v>92</v>
      </c>
      <c r="G374">
        <v>2</v>
      </c>
      <c r="H374" s="2">
        <v>60.71</v>
      </c>
      <c r="I374" s="3">
        <v>0.1</v>
      </c>
      <c r="J374" s="2">
        <v>109.28</v>
      </c>
      <c r="K374" t="s">
        <v>56</v>
      </c>
    </row>
    <row r="375" spans="1:11">
      <c r="A375" t="s">
        <v>718</v>
      </c>
      <c r="B375" s="1">
        <v>45846</v>
      </c>
      <c r="C375" t="s">
        <v>368</v>
      </c>
      <c r="D375" t="s">
        <v>30</v>
      </c>
      <c r="E375" t="s">
        <v>21</v>
      </c>
      <c r="F375" t="s">
        <v>40</v>
      </c>
      <c r="G375">
        <v>4</v>
      </c>
      <c r="H375" s="2">
        <v>46.94</v>
      </c>
      <c r="I375" s="3">
        <v>0</v>
      </c>
      <c r="J375" s="2">
        <v>187.76</v>
      </c>
      <c r="K375" t="s">
        <v>56</v>
      </c>
    </row>
    <row r="376" spans="1:11">
      <c r="A376" t="s">
        <v>719</v>
      </c>
      <c r="B376" s="1">
        <v>45998</v>
      </c>
      <c r="C376" t="s">
        <v>720</v>
      </c>
      <c r="D376" t="s">
        <v>22</v>
      </c>
      <c r="E376" t="s">
        <v>25</v>
      </c>
      <c r="F376" t="s">
        <v>78</v>
      </c>
      <c r="G376">
        <v>1</v>
      </c>
      <c r="H376" s="2">
        <v>33.97</v>
      </c>
      <c r="I376" s="3">
        <v>0.15</v>
      </c>
      <c r="J376" s="2">
        <v>28.87</v>
      </c>
      <c r="K376" t="s">
        <v>61</v>
      </c>
    </row>
    <row r="377" spans="1:11">
      <c r="A377" t="s">
        <v>721</v>
      </c>
      <c r="B377" s="1">
        <v>45766</v>
      </c>
      <c r="C377" t="s">
        <v>722</v>
      </c>
      <c r="D377" t="s">
        <v>22</v>
      </c>
      <c r="E377" t="s">
        <v>21</v>
      </c>
      <c r="F377" t="s">
        <v>40</v>
      </c>
      <c r="G377">
        <v>1</v>
      </c>
      <c r="H377" s="2">
        <v>55.04</v>
      </c>
      <c r="I377" s="3">
        <v>0.05</v>
      </c>
      <c r="J377" s="2">
        <v>52.29</v>
      </c>
      <c r="K377" t="s">
        <v>56</v>
      </c>
    </row>
    <row r="378" spans="1:11">
      <c r="A378" t="s">
        <v>723</v>
      </c>
      <c r="B378" s="1">
        <v>45906</v>
      </c>
      <c r="C378" t="s">
        <v>362</v>
      </c>
      <c r="D378" t="s">
        <v>30</v>
      </c>
      <c r="E378" t="s">
        <v>25</v>
      </c>
      <c r="F378" t="s">
        <v>36</v>
      </c>
      <c r="G378">
        <v>3</v>
      </c>
      <c r="H378" s="2">
        <v>98.04</v>
      </c>
      <c r="I378" s="3">
        <v>0</v>
      </c>
      <c r="J378" s="2">
        <v>294.12</v>
      </c>
      <c r="K378" t="s">
        <v>79</v>
      </c>
    </row>
    <row r="379" spans="1:11">
      <c r="A379" t="s">
        <v>724</v>
      </c>
      <c r="B379" s="1">
        <v>45721</v>
      </c>
      <c r="C379" t="s">
        <v>725</v>
      </c>
      <c r="D379" t="s">
        <v>22</v>
      </c>
      <c r="E379" t="s">
        <v>17</v>
      </c>
      <c r="F379" t="s">
        <v>27</v>
      </c>
      <c r="G379">
        <v>1</v>
      </c>
      <c r="H379" s="2">
        <v>50.16</v>
      </c>
      <c r="I379" s="3">
        <v>0.1</v>
      </c>
      <c r="J379" s="2">
        <v>45.14</v>
      </c>
      <c r="K379" t="s">
        <v>56</v>
      </c>
    </row>
    <row r="380" spans="1:11">
      <c r="A380" t="s">
        <v>726</v>
      </c>
      <c r="B380" s="1">
        <v>45812</v>
      </c>
      <c r="C380" t="s">
        <v>658</v>
      </c>
      <c r="D380" t="s">
        <v>26</v>
      </c>
      <c r="E380" t="s">
        <v>17</v>
      </c>
      <c r="F380" t="s">
        <v>27</v>
      </c>
      <c r="G380">
        <v>3</v>
      </c>
      <c r="H380" s="2">
        <v>67.22</v>
      </c>
      <c r="I380" s="3">
        <v>0</v>
      </c>
      <c r="J380" s="2">
        <v>201.66</v>
      </c>
      <c r="K380" t="s">
        <v>79</v>
      </c>
    </row>
    <row r="381" spans="1:11">
      <c r="A381" t="s">
        <v>727</v>
      </c>
      <c r="B381" s="1">
        <v>45848</v>
      </c>
      <c r="C381" t="s">
        <v>728</v>
      </c>
      <c r="D381" t="s">
        <v>22</v>
      </c>
      <c r="E381" t="s">
        <v>29</v>
      </c>
      <c r="F381" t="s">
        <v>92</v>
      </c>
      <c r="G381">
        <v>3</v>
      </c>
      <c r="H381" s="2">
        <v>49.75</v>
      </c>
      <c r="I381" s="3">
        <v>0.1</v>
      </c>
      <c r="J381" s="2">
        <v>134.33000000000001</v>
      </c>
      <c r="K381" t="s">
        <v>61</v>
      </c>
    </row>
    <row r="382" spans="1:11">
      <c r="A382" t="s">
        <v>729</v>
      </c>
      <c r="B382" s="1">
        <v>45993</v>
      </c>
      <c r="C382" t="s">
        <v>730</v>
      </c>
      <c r="D382" t="s">
        <v>22</v>
      </c>
      <c r="E382" t="s">
        <v>17</v>
      </c>
      <c r="F382" t="s">
        <v>23</v>
      </c>
      <c r="G382">
        <v>2</v>
      </c>
      <c r="H382" s="2">
        <v>109.7</v>
      </c>
      <c r="I382" s="3">
        <v>0.1</v>
      </c>
      <c r="J382" s="2">
        <v>197.46</v>
      </c>
      <c r="K382" t="s">
        <v>56</v>
      </c>
    </row>
    <row r="383" spans="1:11">
      <c r="A383" t="s">
        <v>731</v>
      </c>
      <c r="B383" s="1">
        <v>45773</v>
      </c>
      <c r="C383" t="s">
        <v>222</v>
      </c>
      <c r="D383" t="s">
        <v>30</v>
      </c>
      <c r="E383" t="s">
        <v>21</v>
      </c>
      <c r="F383" t="s">
        <v>71</v>
      </c>
      <c r="G383">
        <v>2</v>
      </c>
      <c r="H383" s="2">
        <v>58.86</v>
      </c>
      <c r="I383" s="3">
        <v>0.05</v>
      </c>
      <c r="J383" s="2">
        <v>111.83</v>
      </c>
      <c r="K383" t="s">
        <v>56</v>
      </c>
    </row>
    <row r="384" spans="1:11">
      <c r="A384" t="s">
        <v>732</v>
      </c>
      <c r="B384" s="1">
        <v>45725</v>
      </c>
      <c r="C384" t="s">
        <v>249</v>
      </c>
      <c r="D384" t="s">
        <v>26</v>
      </c>
      <c r="E384" t="s">
        <v>21</v>
      </c>
      <c r="F384" t="s">
        <v>40</v>
      </c>
      <c r="G384">
        <v>1</v>
      </c>
      <c r="H384" s="2">
        <v>47.84</v>
      </c>
      <c r="I384" s="3">
        <v>0</v>
      </c>
      <c r="J384" s="2">
        <v>47.84</v>
      </c>
      <c r="K384" t="s">
        <v>61</v>
      </c>
    </row>
    <row r="385" spans="1:11">
      <c r="A385" t="s">
        <v>733</v>
      </c>
      <c r="B385" s="1">
        <v>45811</v>
      </c>
      <c r="C385" t="s">
        <v>85</v>
      </c>
      <c r="D385" t="s">
        <v>18</v>
      </c>
      <c r="E385" t="s">
        <v>17</v>
      </c>
      <c r="F385" t="s">
        <v>27</v>
      </c>
      <c r="G385">
        <v>1</v>
      </c>
      <c r="H385" s="2">
        <v>65.989999999999995</v>
      </c>
      <c r="I385" s="3">
        <v>0</v>
      </c>
      <c r="J385" s="2">
        <v>65.989999999999995</v>
      </c>
      <c r="K385" t="s">
        <v>56</v>
      </c>
    </row>
    <row r="386" spans="1:11">
      <c r="A386" t="s">
        <v>734</v>
      </c>
      <c r="B386" s="1">
        <v>45946</v>
      </c>
      <c r="C386" t="s">
        <v>735</v>
      </c>
      <c r="D386" t="s">
        <v>22</v>
      </c>
      <c r="E386" t="s">
        <v>17</v>
      </c>
      <c r="F386" t="s">
        <v>19</v>
      </c>
      <c r="G386">
        <v>2</v>
      </c>
      <c r="H386" s="2">
        <v>71.430000000000007</v>
      </c>
      <c r="I386" s="3">
        <v>0.05</v>
      </c>
      <c r="J386" s="2">
        <v>135.72</v>
      </c>
      <c r="K386" t="s">
        <v>61</v>
      </c>
    </row>
    <row r="387" spans="1:11">
      <c r="A387" t="s">
        <v>736</v>
      </c>
      <c r="B387" s="1">
        <v>45973</v>
      </c>
      <c r="C387" t="s">
        <v>120</v>
      </c>
      <c r="D387" t="s">
        <v>18</v>
      </c>
      <c r="E387" t="s">
        <v>29</v>
      </c>
      <c r="F387" t="s">
        <v>92</v>
      </c>
      <c r="G387">
        <v>1</v>
      </c>
      <c r="H387" s="2">
        <v>50.69</v>
      </c>
      <c r="I387" s="3">
        <v>0</v>
      </c>
      <c r="J387" s="2">
        <v>50.69</v>
      </c>
      <c r="K387" t="s">
        <v>56</v>
      </c>
    </row>
    <row r="388" spans="1:11">
      <c r="A388" t="s">
        <v>737</v>
      </c>
      <c r="B388" s="1">
        <v>45854</v>
      </c>
      <c r="C388" t="s">
        <v>194</v>
      </c>
      <c r="D388" t="s">
        <v>26</v>
      </c>
      <c r="E388" t="s">
        <v>25</v>
      </c>
      <c r="F388" t="s">
        <v>36</v>
      </c>
      <c r="G388">
        <v>4</v>
      </c>
      <c r="H388" s="2">
        <v>84.89</v>
      </c>
      <c r="I388" s="3">
        <v>0</v>
      </c>
      <c r="J388" s="2">
        <v>339.56</v>
      </c>
      <c r="K388" t="s">
        <v>56</v>
      </c>
    </row>
    <row r="389" spans="1:11">
      <c r="A389" t="s">
        <v>738</v>
      </c>
      <c r="B389" s="1">
        <v>45701</v>
      </c>
      <c r="C389" t="s">
        <v>433</v>
      </c>
      <c r="D389" t="s">
        <v>18</v>
      </c>
      <c r="E389" t="s">
        <v>33</v>
      </c>
      <c r="F389" t="s">
        <v>31</v>
      </c>
      <c r="G389">
        <v>2</v>
      </c>
      <c r="H389" s="2">
        <v>77.55</v>
      </c>
      <c r="I389" s="3">
        <v>0.15</v>
      </c>
      <c r="J389" s="2">
        <v>131.83000000000001</v>
      </c>
      <c r="K389" t="s">
        <v>56</v>
      </c>
    </row>
    <row r="390" spans="1:11">
      <c r="A390" t="s">
        <v>739</v>
      </c>
      <c r="B390" s="1">
        <v>45812</v>
      </c>
      <c r="C390" t="s">
        <v>174</v>
      </c>
      <c r="D390" t="s">
        <v>18</v>
      </c>
      <c r="E390" t="s">
        <v>33</v>
      </c>
      <c r="F390" t="s">
        <v>31</v>
      </c>
      <c r="G390">
        <v>1</v>
      </c>
      <c r="H390" s="2">
        <v>75.34</v>
      </c>
      <c r="I390" s="3">
        <v>0.1</v>
      </c>
      <c r="J390" s="2">
        <v>67.81</v>
      </c>
      <c r="K390" t="s">
        <v>79</v>
      </c>
    </row>
    <row r="391" spans="1:11">
      <c r="A391" t="s">
        <v>740</v>
      </c>
      <c r="B391" s="1">
        <v>45911</v>
      </c>
      <c r="C391" t="s">
        <v>262</v>
      </c>
      <c r="D391" t="s">
        <v>18</v>
      </c>
      <c r="E391" t="s">
        <v>25</v>
      </c>
      <c r="F391" t="s">
        <v>38</v>
      </c>
      <c r="G391">
        <v>1</v>
      </c>
      <c r="H391" s="2">
        <v>120.77</v>
      </c>
      <c r="I391" s="3">
        <v>0.15</v>
      </c>
      <c r="J391" s="2">
        <v>102.65</v>
      </c>
      <c r="K391" t="s">
        <v>61</v>
      </c>
    </row>
    <row r="392" spans="1:11">
      <c r="A392" t="s">
        <v>741</v>
      </c>
      <c r="B392" s="1">
        <v>45820</v>
      </c>
      <c r="C392" t="s">
        <v>742</v>
      </c>
      <c r="D392" t="s">
        <v>22</v>
      </c>
      <c r="E392" t="s">
        <v>17</v>
      </c>
      <c r="F392" t="s">
        <v>27</v>
      </c>
      <c r="G392">
        <v>1</v>
      </c>
      <c r="H392" s="2">
        <v>66.48</v>
      </c>
      <c r="I392" s="3">
        <v>0.1</v>
      </c>
      <c r="J392" s="2">
        <v>59.83</v>
      </c>
      <c r="K392" t="s">
        <v>61</v>
      </c>
    </row>
    <row r="393" spans="1:11">
      <c r="A393" t="s">
        <v>743</v>
      </c>
      <c r="B393" s="1">
        <v>45695</v>
      </c>
      <c r="C393" t="s">
        <v>417</v>
      </c>
      <c r="D393" t="s">
        <v>18</v>
      </c>
      <c r="E393" t="s">
        <v>17</v>
      </c>
      <c r="F393" t="s">
        <v>19</v>
      </c>
      <c r="G393">
        <v>2</v>
      </c>
      <c r="H393" s="2">
        <v>67.510000000000005</v>
      </c>
      <c r="I393" s="3">
        <v>0</v>
      </c>
      <c r="J393" s="2">
        <v>135.02000000000001</v>
      </c>
      <c r="K393" t="s">
        <v>61</v>
      </c>
    </row>
    <row r="394" spans="1:11">
      <c r="A394" t="s">
        <v>744</v>
      </c>
      <c r="B394" s="1">
        <v>45917</v>
      </c>
      <c r="C394" t="s">
        <v>106</v>
      </c>
      <c r="D394" t="s">
        <v>30</v>
      </c>
      <c r="E394" t="s">
        <v>33</v>
      </c>
      <c r="F394" t="s">
        <v>34</v>
      </c>
      <c r="G394">
        <v>2</v>
      </c>
      <c r="H394" s="2">
        <v>29.45</v>
      </c>
      <c r="I394" s="3">
        <v>0.1</v>
      </c>
      <c r="J394" s="2">
        <v>53.01</v>
      </c>
      <c r="K394" t="s">
        <v>79</v>
      </c>
    </row>
    <row r="395" spans="1:11">
      <c r="A395" t="s">
        <v>745</v>
      </c>
      <c r="B395" s="1">
        <v>45985</v>
      </c>
      <c r="C395" t="s">
        <v>182</v>
      </c>
      <c r="D395" t="s">
        <v>18</v>
      </c>
      <c r="E395" t="s">
        <v>21</v>
      </c>
      <c r="F395" t="s">
        <v>71</v>
      </c>
      <c r="G395">
        <v>1</v>
      </c>
      <c r="H395" s="2">
        <v>62.13</v>
      </c>
      <c r="I395" s="3">
        <v>0</v>
      </c>
      <c r="J395" s="2">
        <v>62.13</v>
      </c>
      <c r="K395" t="s">
        <v>56</v>
      </c>
    </row>
    <row r="396" spans="1:11">
      <c r="A396" t="s">
        <v>746</v>
      </c>
      <c r="B396" s="1">
        <v>45762</v>
      </c>
      <c r="C396" t="s">
        <v>182</v>
      </c>
      <c r="D396" t="s">
        <v>30</v>
      </c>
      <c r="E396" t="s">
        <v>17</v>
      </c>
      <c r="F396" t="s">
        <v>27</v>
      </c>
      <c r="G396">
        <v>1</v>
      </c>
      <c r="H396" s="2">
        <v>57.76</v>
      </c>
      <c r="I396" s="3">
        <v>0</v>
      </c>
      <c r="J396" s="2">
        <v>57.76</v>
      </c>
      <c r="K396" t="s">
        <v>56</v>
      </c>
    </row>
    <row r="397" spans="1:11">
      <c r="A397" t="s">
        <v>747</v>
      </c>
      <c r="B397" s="1">
        <v>45780</v>
      </c>
      <c r="C397" t="s">
        <v>748</v>
      </c>
      <c r="D397" t="s">
        <v>18</v>
      </c>
      <c r="E397" t="s">
        <v>17</v>
      </c>
      <c r="F397" t="s">
        <v>19</v>
      </c>
      <c r="G397">
        <v>1</v>
      </c>
      <c r="H397" s="2">
        <v>91.26</v>
      </c>
      <c r="I397" s="3">
        <v>0</v>
      </c>
      <c r="J397" s="2">
        <v>91.26</v>
      </c>
      <c r="K397" t="s">
        <v>61</v>
      </c>
    </row>
    <row r="398" spans="1:11">
      <c r="A398" t="s">
        <v>749</v>
      </c>
      <c r="B398" s="1">
        <v>45999</v>
      </c>
      <c r="C398" t="s">
        <v>324</v>
      </c>
      <c r="D398" t="s">
        <v>18</v>
      </c>
      <c r="E398" t="s">
        <v>25</v>
      </c>
      <c r="F398" t="s">
        <v>78</v>
      </c>
      <c r="G398">
        <v>2</v>
      </c>
      <c r="H398" s="2">
        <v>35.409999999999997</v>
      </c>
      <c r="I398" s="3">
        <v>0</v>
      </c>
      <c r="J398" s="2">
        <v>70.819999999999993</v>
      </c>
      <c r="K398" t="s">
        <v>79</v>
      </c>
    </row>
    <row r="399" spans="1:11">
      <c r="A399" t="s">
        <v>750</v>
      </c>
      <c r="B399" s="1">
        <v>45912</v>
      </c>
      <c r="C399" t="s">
        <v>124</v>
      </c>
      <c r="D399" t="s">
        <v>26</v>
      </c>
      <c r="E399" t="s">
        <v>25</v>
      </c>
      <c r="F399" t="s">
        <v>36</v>
      </c>
      <c r="G399">
        <v>1</v>
      </c>
      <c r="H399" s="2">
        <v>98.65</v>
      </c>
      <c r="I399" s="3">
        <v>0.05</v>
      </c>
      <c r="J399" s="2">
        <v>93.72</v>
      </c>
      <c r="K399" t="s">
        <v>79</v>
      </c>
    </row>
    <row r="400" spans="1:11">
      <c r="A400" t="s">
        <v>751</v>
      </c>
      <c r="B400" s="1">
        <v>45795</v>
      </c>
      <c r="C400" t="s">
        <v>752</v>
      </c>
      <c r="D400" t="s">
        <v>30</v>
      </c>
      <c r="E400" t="s">
        <v>25</v>
      </c>
      <c r="F400" t="s">
        <v>78</v>
      </c>
      <c r="G400">
        <v>3</v>
      </c>
      <c r="H400" s="2">
        <v>43.08</v>
      </c>
      <c r="I400" s="3">
        <v>0</v>
      </c>
      <c r="J400" s="2">
        <v>129.24</v>
      </c>
      <c r="K400" t="s">
        <v>61</v>
      </c>
    </row>
    <row r="401" spans="1:11">
      <c r="A401" t="s">
        <v>753</v>
      </c>
      <c r="B401" s="1">
        <v>45926</v>
      </c>
      <c r="C401" t="s">
        <v>322</v>
      </c>
      <c r="D401" t="s">
        <v>30</v>
      </c>
      <c r="E401" t="s">
        <v>17</v>
      </c>
      <c r="F401" t="s">
        <v>23</v>
      </c>
      <c r="G401">
        <v>1</v>
      </c>
      <c r="H401" s="2">
        <v>151.16</v>
      </c>
      <c r="I401" s="3">
        <v>0</v>
      </c>
      <c r="J401" s="2">
        <v>151.16</v>
      </c>
      <c r="K401" t="s">
        <v>56</v>
      </c>
    </row>
    <row r="402" spans="1:11">
      <c r="A402" t="s">
        <v>754</v>
      </c>
      <c r="B402" s="1">
        <v>45842</v>
      </c>
      <c r="C402" t="s">
        <v>131</v>
      </c>
      <c r="D402" t="s">
        <v>26</v>
      </c>
      <c r="E402" t="s">
        <v>17</v>
      </c>
      <c r="F402" t="s">
        <v>19</v>
      </c>
      <c r="G402">
        <v>1</v>
      </c>
      <c r="H402" s="2">
        <v>81.93</v>
      </c>
      <c r="I402" s="3">
        <v>0.05</v>
      </c>
      <c r="J402" s="2">
        <v>77.83</v>
      </c>
      <c r="K402" t="s">
        <v>79</v>
      </c>
    </row>
    <row r="403" spans="1:11">
      <c r="A403" t="s">
        <v>755</v>
      </c>
      <c r="B403" s="1">
        <v>45951</v>
      </c>
      <c r="C403" t="s">
        <v>292</v>
      </c>
      <c r="D403" t="s">
        <v>18</v>
      </c>
      <c r="E403" t="s">
        <v>29</v>
      </c>
      <c r="F403" t="s">
        <v>92</v>
      </c>
      <c r="G403">
        <v>2</v>
      </c>
      <c r="H403" s="2">
        <v>50.9</v>
      </c>
      <c r="I403" s="3">
        <v>0.15</v>
      </c>
      <c r="J403" s="2">
        <v>86.53</v>
      </c>
      <c r="K403" t="s">
        <v>79</v>
      </c>
    </row>
    <row r="404" spans="1:11">
      <c r="A404" t="s">
        <v>756</v>
      </c>
      <c r="B404" s="1">
        <v>45783</v>
      </c>
      <c r="C404" t="s">
        <v>757</v>
      </c>
      <c r="D404" t="s">
        <v>18</v>
      </c>
      <c r="E404" t="s">
        <v>17</v>
      </c>
      <c r="F404" t="s">
        <v>19</v>
      </c>
      <c r="G404">
        <v>1</v>
      </c>
      <c r="H404" s="2">
        <v>77.13</v>
      </c>
      <c r="I404" s="3">
        <v>0</v>
      </c>
      <c r="J404" s="2">
        <v>77.13</v>
      </c>
      <c r="K404" t="s">
        <v>56</v>
      </c>
    </row>
    <row r="405" spans="1:11">
      <c r="A405" t="s">
        <v>758</v>
      </c>
      <c r="B405" s="1">
        <v>45993</v>
      </c>
      <c r="C405" t="s">
        <v>759</v>
      </c>
      <c r="D405" t="s">
        <v>18</v>
      </c>
      <c r="E405" t="s">
        <v>25</v>
      </c>
      <c r="F405" t="s">
        <v>38</v>
      </c>
      <c r="G405">
        <v>1</v>
      </c>
      <c r="H405" s="2">
        <v>110.9</v>
      </c>
      <c r="I405" s="3">
        <v>0.05</v>
      </c>
      <c r="J405" s="2">
        <v>105.36</v>
      </c>
      <c r="K405" t="s">
        <v>56</v>
      </c>
    </row>
    <row r="406" spans="1:11">
      <c r="A406" t="s">
        <v>760</v>
      </c>
      <c r="B406" s="1">
        <v>45848</v>
      </c>
      <c r="C406" t="s">
        <v>761</v>
      </c>
      <c r="D406" t="s">
        <v>18</v>
      </c>
      <c r="E406" t="s">
        <v>17</v>
      </c>
      <c r="F406" t="s">
        <v>23</v>
      </c>
      <c r="G406">
        <v>1</v>
      </c>
      <c r="H406" s="2">
        <v>148.05000000000001</v>
      </c>
      <c r="I406" s="3">
        <v>0</v>
      </c>
      <c r="J406" s="2">
        <v>148.05000000000001</v>
      </c>
      <c r="K406" t="s">
        <v>61</v>
      </c>
    </row>
    <row r="407" spans="1:11">
      <c r="A407" t="s">
        <v>762</v>
      </c>
      <c r="B407" s="1">
        <v>45693</v>
      </c>
      <c r="C407" t="s">
        <v>565</v>
      </c>
      <c r="D407" t="s">
        <v>18</v>
      </c>
      <c r="E407" t="s">
        <v>21</v>
      </c>
      <c r="F407" t="s">
        <v>40</v>
      </c>
      <c r="G407">
        <v>3</v>
      </c>
      <c r="H407" s="2">
        <v>54.16</v>
      </c>
      <c r="I407" s="3">
        <v>0.05</v>
      </c>
      <c r="J407" s="2">
        <v>154.36000000000001</v>
      </c>
      <c r="K407" t="s">
        <v>56</v>
      </c>
    </row>
    <row r="408" spans="1:11">
      <c r="A408" t="s">
        <v>763</v>
      </c>
      <c r="B408" s="1">
        <v>45891</v>
      </c>
      <c r="C408" t="s">
        <v>655</v>
      </c>
      <c r="D408" t="s">
        <v>30</v>
      </c>
      <c r="E408" t="s">
        <v>17</v>
      </c>
      <c r="F408" t="s">
        <v>19</v>
      </c>
      <c r="G408">
        <v>1</v>
      </c>
      <c r="H408" s="2">
        <v>74.75</v>
      </c>
      <c r="I408" s="3">
        <v>0.05</v>
      </c>
      <c r="J408" s="2">
        <v>71.010000000000005</v>
      </c>
      <c r="K408" t="s">
        <v>61</v>
      </c>
    </row>
    <row r="409" spans="1:11">
      <c r="A409" t="s">
        <v>764</v>
      </c>
      <c r="B409" s="1">
        <v>45960</v>
      </c>
      <c r="C409" t="s">
        <v>765</v>
      </c>
      <c r="D409" t="s">
        <v>22</v>
      </c>
      <c r="E409" t="s">
        <v>21</v>
      </c>
      <c r="F409" t="s">
        <v>40</v>
      </c>
      <c r="G409">
        <v>4</v>
      </c>
      <c r="H409" s="2">
        <v>54.2</v>
      </c>
      <c r="I409" s="3">
        <v>0.15</v>
      </c>
      <c r="J409" s="2">
        <v>184.28</v>
      </c>
      <c r="K409" t="s">
        <v>79</v>
      </c>
    </row>
    <row r="410" spans="1:11">
      <c r="A410" t="s">
        <v>766</v>
      </c>
      <c r="B410" s="1">
        <v>45867</v>
      </c>
      <c r="C410" t="s">
        <v>752</v>
      </c>
      <c r="D410" t="s">
        <v>18</v>
      </c>
      <c r="E410" t="s">
        <v>17</v>
      </c>
      <c r="F410" t="s">
        <v>19</v>
      </c>
      <c r="G410">
        <v>1</v>
      </c>
      <c r="H410" s="2">
        <v>76.180000000000007</v>
      </c>
      <c r="I410" s="3">
        <v>0</v>
      </c>
      <c r="J410" s="2">
        <v>76.180000000000007</v>
      </c>
      <c r="K410" t="s">
        <v>56</v>
      </c>
    </row>
    <row r="411" spans="1:11">
      <c r="A411" t="s">
        <v>767</v>
      </c>
      <c r="B411" s="1">
        <v>45850</v>
      </c>
      <c r="C411" t="s">
        <v>352</v>
      </c>
      <c r="D411" t="s">
        <v>30</v>
      </c>
      <c r="E411" t="s">
        <v>25</v>
      </c>
      <c r="F411" t="s">
        <v>78</v>
      </c>
      <c r="G411">
        <v>2</v>
      </c>
      <c r="H411" s="2">
        <v>34.49</v>
      </c>
      <c r="I411" s="3">
        <v>0.15</v>
      </c>
      <c r="J411" s="2">
        <v>58.63</v>
      </c>
      <c r="K411" t="s">
        <v>61</v>
      </c>
    </row>
    <row r="412" spans="1:11">
      <c r="A412" t="s">
        <v>768</v>
      </c>
      <c r="B412" s="1">
        <v>45688</v>
      </c>
      <c r="C412" t="s">
        <v>170</v>
      </c>
      <c r="D412" t="s">
        <v>30</v>
      </c>
      <c r="E412" t="s">
        <v>17</v>
      </c>
      <c r="F412" t="s">
        <v>27</v>
      </c>
      <c r="G412">
        <v>2</v>
      </c>
      <c r="H412" s="2">
        <v>51.96</v>
      </c>
      <c r="I412" s="3">
        <v>0</v>
      </c>
      <c r="J412" s="2">
        <v>103.92</v>
      </c>
      <c r="K412" t="s">
        <v>56</v>
      </c>
    </row>
    <row r="413" spans="1:11">
      <c r="A413" t="s">
        <v>769</v>
      </c>
      <c r="B413" s="1">
        <v>45848</v>
      </c>
      <c r="C413" t="s">
        <v>700</v>
      </c>
      <c r="D413" t="s">
        <v>22</v>
      </c>
      <c r="E413" t="s">
        <v>21</v>
      </c>
      <c r="F413" t="s">
        <v>40</v>
      </c>
      <c r="G413">
        <v>4</v>
      </c>
      <c r="H413" s="2">
        <v>43.02</v>
      </c>
      <c r="I413" s="3">
        <v>0</v>
      </c>
      <c r="J413" s="2">
        <v>172.08</v>
      </c>
      <c r="K413" t="s">
        <v>56</v>
      </c>
    </row>
    <row r="414" spans="1:11">
      <c r="A414" t="s">
        <v>770</v>
      </c>
      <c r="B414" s="1">
        <v>45859</v>
      </c>
      <c r="C414" t="s">
        <v>596</v>
      </c>
      <c r="D414" t="s">
        <v>26</v>
      </c>
      <c r="E414" t="s">
        <v>17</v>
      </c>
      <c r="F414" t="s">
        <v>23</v>
      </c>
      <c r="G414">
        <v>2</v>
      </c>
      <c r="H414" s="2">
        <v>112.3</v>
      </c>
      <c r="I414" s="3">
        <v>0</v>
      </c>
      <c r="J414" s="2">
        <v>224.6</v>
      </c>
      <c r="K414" t="s">
        <v>61</v>
      </c>
    </row>
    <row r="415" spans="1:11">
      <c r="A415" t="s">
        <v>771</v>
      </c>
      <c r="B415" s="1">
        <v>45819</v>
      </c>
      <c r="C415" t="s">
        <v>772</v>
      </c>
      <c r="D415" t="s">
        <v>26</v>
      </c>
      <c r="E415" t="s">
        <v>25</v>
      </c>
      <c r="F415" t="s">
        <v>38</v>
      </c>
      <c r="G415">
        <v>2</v>
      </c>
      <c r="H415" s="2">
        <v>130.03</v>
      </c>
      <c r="I415" s="3">
        <v>0.05</v>
      </c>
      <c r="J415" s="2">
        <v>247.06</v>
      </c>
      <c r="K415" t="s">
        <v>79</v>
      </c>
    </row>
    <row r="416" spans="1:11">
      <c r="A416" t="s">
        <v>773</v>
      </c>
      <c r="B416" s="1">
        <v>45696</v>
      </c>
      <c r="C416" t="s">
        <v>774</v>
      </c>
      <c r="D416" t="s">
        <v>18</v>
      </c>
      <c r="E416" t="s">
        <v>33</v>
      </c>
      <c r="F416" t="s">
        <v>31</v>
      </c>
      <c r="G416">
        <v>1</v>
      </c>
      <c r="H416" s="2">
        <v>81.709999999999994</v>
      </c>
      <c r="I416" s="3">
        <v>0</v>
      </c>
      <c r="J416" s="2">
        <v>81.709999999999994</v>
      </c>
      <c r="K416" t="s">
        <v>79</v>
      </c>
    </row>
    <row r="417" spans="1:11">
      <c r="A417" t="s">
        <v>775</v>
      </c>
      <c r="B417" s="1">
        <v>45888</v>
      </c>
      <c r="C417" t="s">
        <v>776</v>
      </c>
      <c r="D417" t="s">
        <v>30</v>
      </c>
      <c r="E417" t="s">
        <v>21</v>
      </c>
      <c r="F417" t="s">
        <v>40</v>
      </c>
      <c r="G417">
        <v>1</v>
      </c>
      <c r="H417" s="2">
        <v>43.6</v>
      </c>
      <c r="I417" s="3">
        <v>0.05</v>
      </c>
      <c r="J417" s="2">
        <v>41.42</v>
      </c>
      <c r="K417" t="s">
        <v>61</v>
      </c>
    </row>
    <row r="418" spans="1:11">
      <c r="A418" t="s">
        <v>777</v>
      </c>
      <c r="B418" s="1">
        <v>45895</v>
      </c>
      <c r="C418" t="s">
        <v>778</v>
      </c>
      <c r="D418" t="s">
        <v>22</v>
      </c>
      <c r="E418" t="s">
        <v>33</v>
      </c>
      <c r="F418" t="s">
        <v>34</v>
      </c>
      <c r="G418">
        <v>3</v>
      </c>
      <c r="H418" s="2">
        <v>25.52</v>
      </c>
      <c r="I418" s="3">
        <v>0.05</v>
      </c>
      <c r="J418" s="2">
        <v>72.73</v>
      </c>
      <c r="K418" t="s">
        <v>61</v>
      </c>
    </row>
    <row r="419" spans="1:11">
      <c r="A419" t="s">
        <v>779</v>
      </c>
      <c r="B419" s="1">
        <v>45733</v>
      </c>
      <c r="C419" t="s">
        <v>780</v>
      </c>
      <c r="D419" t="s">
        <v>18</v>
      </c>
      <c r="E419" t="s">
        <v>17</v>
      </c>
      <c r="F419" t="s">
        <v>23</v>
      </c>
      <c r="G419">
        <v>2</v>
      </c>
      <c r="H419" s="2">
        <v>150.87</v>
      </c>
      <c r="I419" s="3">
        <v>0.1</v>
      </c>
      <c r="J419" s="2">
        <v>271.57</v>
      </c>
      <c r="K419" t="s">
        <v>56</v>
      </c>
    </row>
    <row r="420" spans="1:11">
      <c r="A420" t="s">
        <v>781</v>
      </c>
      <c r="B420" s="1">
        <v>45811</v>
      </c>
      <c r="C420" t="s">
        <v>772</v>
      </c>
      <c r="D420" t="s">
        <v>22</v>
      </c>
      <c r="E420" t="s">
        <v>33</v>
      </c>
      <c r="F420" t="s">
        <v>34</v>
      </c>
      <c r="G420">
        <v>2</v>
      </c>
      <c r="H420" s="2">
        <v>26.31</v>
      </c>
      <c r="I420" s="3">
        <v>0.1</v>
      </c>
      <c r="J420" s="2">
        <v>47.36</v>
      </c>
      <c r="K420" t="s">
        <v>79</v>
      </c>
    </row>
    <row r="421" spans="1:11">
      <c r="A421" t="s">
        <v>782</v>
      </c>
      <c r="B421" s="1">
        <v>45894</v>
      </c>
      <c r="C421" t="s">
        <v>783</v>
      </c>
      <c r="D421" t="s">
        <v>22</v>
      </c>
      <c r="E421" t="s">
        <v>17</v>
      </c>
      <c r="F421" t="s">
        <v>23</v>
      </c>
      <c r="G421">
        <v>2</v>
      </c>
      <c r="H421" s="2">
        <v>115.6</v>
      </c>
      <c r="I421" s="3">
        <v>0</v>
      </c>
      <c r="J421" s="2">
        <v>231.2</v>
      </c>
      <c r="K421" t="s">
        <v>79</v>
      </c>
    </row>
    <row r="422" spans="1:11">
      <c r="A422" t="s">
        <v>784</v>
      </c>
      <c r="B422" s="1">
        <v>45759</v>
      </c>
      <c r="C422" t="s">
        <v>785</v>
      </c>
      <c r="D422" t="s">
        <v>26</v>
      </c>
      <c r="E422" t="s">
        <v>25</v>
      </c>
      <c r="F422" t="s">
        <v>38</v>
      </c>
      <c r="G422">
        <v>1</v>
      </c>
      <c r="H422" s="2">
        <v>125.9</v>
      </c>
      <c r="I422" s="3">
        <v>0</v>
      </c>
      <c r="J422" s="2">
        <v>125.9</v>
      </c>
      <c r="K422" t="s">
        <v>79</v>
      </c>
    </row>
    <row r="423" spans="1:11">
      <c r="A423" t="s">
        <v>786</v>
      </c>
      <c r="B423" s="1">
        <v>45669</v>
      </c>
      <c r="C423" t="s">
        <v>787</v>
      </c>
      <c r="D423" t="s">
        <v>26</v>
      </c>
      <c r="E423" t="s">
        <v>17</v>
      </c>
      <c r="F423" t="s">
        <v>23</v>
      </c>
      <c r="G423">
        <v>1</v>
      </c>
      <c r="H423" s="2">
        <v>137.15</v>
      </c>
      <c r="I423" s="3">
        <v>0</v>
      </c>
      <c r="J423" s="2">
        <v>137.15</v>
      </c>
      <c r="K423" t="s">
        <v>79</v>
      </c>
    </row>
    <row r="424" spans="1:11">
      <c r="A424" t="s">
        <v>788</v>
      </c>
      <c r="B424" s="1">
        <v>45679</v>
      </c>
      <c r="C424" t="s">
        <v>789</v>
      </c>
      <c r="D424" t="s">
        <v>30</v>
      </c>
      <c r="E424" t="s">
        <v>21</v>
      </c>
      <c r="F424" t="s">
        <v>40</v>
      </c>
      <c r="G424">
        <v>1</v>
      </c>
      <c r="H424" s="2">
        <v>56.59</v>
      </c>
      <c r="I424" s="3">
        <v>0.1</v>
      </c>
      <c r="J424" s="2">
        <v>50.93</v>
      </c>
      <c r="K424" t="s">
        <v>79</v>
      </c>
    </row>
    <row r="425" spans="1:11">
      <c r="A425" t="s">
        <v>790</v>
      </c>
      <c r="B425" s="1">
        <v>45853</v>
      </c>
      <c r="C425" t="s">
        <v>625</v>
      </c>
      <c r="D425" t="s">
        <v>26</v>
      </c>
      <c r="E425" t="s">
        <v>29</v>
      </c>
      <c r="F425" t="s">
        <v>92</v>
      </c>
      <c r="G425">
        <v>1</v>
      </c>
      <c r="H425" s="2">
        <v>53.17</v>
      </c>
      <c r="I425" s="3">
        <v>0</v>
      </c>
      <c r="J425" s="2">
        <v>53.17</v>
      </c>
      <c r="K425" t="s">
        <v>61</v>
      </c>
    </row>
    <row r="426" spans="1:11">
      <c r="A426" t="s">
        <v>791</v>
      </c>
      <c r="B426" s="1">
        <v>45734</v>
      </c>
      <c r="C426" t="s">
        <v>280</v>
      </c>
      <c r="D426" t="s">
        <v>30</v>
      </c>
      <c r="E426" t="s">
        <v>17</v>
      </c>
      <c r="F426" t="s">
        <v>19</v>
      </c>
      <c r="G426">
        <v>2</v>
      </c>
      <c r="H426" s="2">
        <v>83.23</v>
      </c>
      <c r="I426" s="3">
        <v>0.05</v>
      </c>
      <c r="J426" s="2">
        <v>158.13999999999999</v>
      </c>
      <c r="K426" t="s">
        <v>56</v>
      </c>
    </row>
    <row r="427" spans="1:11">
      <c r="A427" t="s">
        <v>792</v>
      </c>
      <c r="B427" s="1">
        <v>45903</v>
      </c>
      <c r="C427" t="s">
        <v>486</v>
      </c>
      <c r="D427" t="s">
        <v>22</v>
      </c>
      <c r="E427" t="s">
        <v>17</v>
      </c>
      <c r="F427" t="s">
        <v>19</v>
      </c>
      <c r="G427">
        <v>1</v>
      </c>
      <c r="H427" s="2">
        <v>77.14</v>
      </c>
      <c r="I427" s="3">
        <v>0.1</v>
      </c>
      <c r="J427" s="2">
        <v>69.430000000000007</v>
      </c>
      <c r="K427" t="s">
        <v>56</v>
      </c>
    </row>
    <row r="428" spans="1:11">
      <c r="A428" t="s">
        <v>793</v>
      </c>
      <c r="B428" s="1">
        <v>45936</v>
      </c>
      <c r="C428" t="s">
        <v>794</v>
      </c>
      <c r="D428" t="s">
        <v>30</v>
      </c>
      <c r="E428" t="s">
        <v>17</v>
      </c>
      <c r="F428" t="s">
        <v>19</v>
      </c>
      <c r="G428">
        <v>4</v>
      </c>
      <c r="H428" s="2">
        <v>87.53</v>
      </c>
      <c r="I428" s="3">
        <v>0.05</v>
      </c>
      <c r="J428" s="2">
        <v>332.61</v>
      </c>
      <c r="K428" t="s">
        <v>61</v>
      </c>
    </row>
    <row r="429" spans="1:11">
      <c r="A429" t="s">
        <v>795</v>
      </c>
      <c r="B429" s="1">
        <v>45947</v>
      </c>
      <c r="C429" t="s">
        <v>512</v>
      </c>
      <c r="D429" t="s">
        <v>22</v>
      </c>
      <c r="E429" t="s">
        <v>21</v>
      </c>
      <c r="F429" t="s">
        <v>71</v>
      </c>
      <c r="G429">
        <v>1</v>
      </c>
      <c r="H429" s="2">
        <v>64.81</v>
      </c>
      <c r="I429" s="3">
        <v>0</v>
      </c>
      <c r="J429" s="2">
        <v>64.81</v>
      </c>
      <c r="K429" t="s">
        <v>79</v>
      </c>
    </row>
    <row r="430" spans="1:11">
      <c r="A430" t="s">
        <v>796</v>
      </c>
      <c r="B430" s="1">
        <v>45801</v>
      </c>
      <c r="C430" t="s">
        <v>797</v>
      </c>
      <c r="D430" t="s">
        <v>22</v>
      </c>
      <c r="E430" t="s">
        <v>17</v>
      </c>
      <c r="F430" t="s">
        <v>19</v>
      </c>
      <c r="G430">
        <v>2</v>
      </c>
      <c r="H430" s="2">
        <v>79.45</v>
      </c>
      <c r="I430" s="3">
        <v>0.05</v>
      </c>
      <c r="J430" s="2">
        <v>150.96</v>
      </c>
      <c r="K430" t="s">
        <v>79</v>
      </c>
    </row>
    <row r="431" spans="1:11">
      <c r="A431" t="s">
        <v>798</v>
      </c>
      <c r="B431" s="1">
        <v>45709</v>
      </c>
      <c r="C431" t="s">
        <v>81</v>
      </c>
      <c r="D431" t="s">
        <v>30</v>
      </c>
      <c r="E431" t="s">
        <v>33</v>
      </c>
      <c r="F431" t="s">
        <v>31</v>
      </c>
      <c r="G431">
        <v>2</v>
      </c>
      <c r="H431" s="2">
        <v>69.41</v>
      </c>
      <c r="I431" s="3">
        <v>0</v>
      </c>
      <c r="J431" s="2">
        <v>138.82</v>
      </c>
      <c r="K431" t="s">
        <v>61</v>
      </c>
    </row>
    <row r="432" spans="1:11">
      <c r="A432" t="s">
        <v>799</v>
      </c>
      <c r="B432" s="1">
        <v>45746</v>
      </c>
      <c r="C432" t="s">
        <v>800</v>
      </c>
      <c r="D432" t="s">
        <v>26</v>
      </c>
      <c r="E432" t="s">
        <v>17</v>
      </c>
      <c r="F432" t="s">
        <v>27</v>
      </c>
      <c r="G432">
        <v>1</v>
      </c>
      <c r="H432" s="2">
        <v>56.34</v>
      </c>
      <c r="I432" s="3">
        <v>0.05</v>
      </c>
      <c r="J432" s="2">
        <v>53.52</v>
      </c>
      <c r="K432" t="s">
        <v>56</v>
      </c>
    </row>
    <row r="433" spans="1:11">
      <c r="A433" t="s">
        <v>801</v>
      </c>
      <c r="B433" s="1">
        <v>45946</v>
      </c>
      <c r="C433" t="s">
        <v>802</v>
      </c>
      <c r="D433" t="s">
        <v>26</v>
      </c>
      <c r="E433" t="s">
        <v>17</v>
      </c>
      <c r="F433" t="s">
        <v>27</v>
      </c>
      <c r="G433">
        <v>2</v>
      </c>
      <c r="H433" s="2">
        <v>53.81</v>
      </c>
      <c r="I433" s="3">
        <v>0.1</v>
      </c>
      <c r="J433" s="2">
        <v>96.86</v>
      </c>
      <c r="K433" t="s">
        <v>79</v>
      </c>
    </row>
    <row r="434" spans="1:11">
      <c r="A434" t="s">
        <v>803</v>
      </c>
      <c r="B434" s="1">
        <v>45909</v>
      </c>
      <c r="C434" t="s">
        <v>804</v>
      </c>
      <c r="D434" t="s">
        <v>30</v>
      </c>
      <c r="E434" t="s">
        <v>17</v>
      </c>
      <c r="F434" t="s">
        <v>19</v>
      </c>
      <c r="G434">
        <v>1</v>
      </c>
      <c r="H434" s="2">
        <v>73.209999999999994</v>
      </c>
      <c r="I434" s="3">
        <v>0</v>
      </c>
      <c r="J434" s="2">
        <v>73.209999999999994</v>
      </c>
      <c r="K434" t="s">
        <v>79</v>
      </c>
    </row>
    <row r="435" spans="1:11">
      <c r="A435" t="s">
        <v>805</v>
      </c>
      <c r="B435" s="1">
        <v>45827</v>
      </c>
      <c r="C435" t="s">
        <v>100</v>
      </c>
      <c r="D435" t="s">
        <v>18</v>
      </c>
      <c r="E435" t="s">
        <v>29</v>
      </c>
      <c r="F435" t="s">
        <v>68</v>
      </c>
      <c r="G435">
        <v>1</v>
      </c>
      <c r="H435" s="2">
        <v>40.19</v>
      </c>
      <c r="I435" s="3">
        <v>0</v>
      </c>
      <c r="J435" s="2">
        <v>40.19</v>
      </c>
      <c r="K435" t="s">
        <v>79</v>
      </c>
    </row>
    <row r="436" spans="1:11">
      <c r="A436" t="s">
        <v>806</v>
      </c>
      <c r="B436" s="1">
        <v>45733</v>
      </c>
      <c r="C436" t="s">
        <v>807</v>
      </c>
      <c r="D436" t="s">
        <v>26</v>
      </c>
      <c r="E436" t="s">
        <v>29</v>
      </c>
      <c r="F436" t="s">
        <v>68</v>
      </c>
      <c r="G436">
        <v>2</v>
      </c>
      <c r="H436" s="2">
        <v>40.35</v>
      </c>
      <c r="I436" s="3">
        <v>0</v>
      </c>
      <c r="J436" s="2">
        <v>80.7</v>
      </c>
      <c r="K436" t="s">
        <v>79</v>
      </c>
    </row>
    <row r="437" spans="1:11">
      <c r="A437" t="s">
        <v>808</v>
      </c>
      <c r="B437" s="1">
        <v>45849</v>
      </c>
      <c r="C437" t="s">
        <v>809</v>
      </c>
      <c r="D437" t="s">
        <v>26</v>
      </c>
      <c r="E437" t="s">
        <v>25</v>
      </c>
      <c r="F437" t="s">
        <v>78</v>
      </c>
      <c r="G437">
        <v>3</v>
      </c>
      <c r="H437" s="2">
        <v>38.24</v>
      </c>
      <c r="I437" s="3">
        <v>0</v>
      </c>
      <c r="J437" s="2">
        <v>114.72</v>
      </c>
      <c r="K437" t="s">
        <v>61</v>
      </c>
    </row>
    <row r="438" spans="1:11">
      <c r="A438" t="s">
        <v>810</v>
      </c>
      <c r="B438" s="1">
        <v>45727</v>
      </c>
      <c r="C438" t="s">
        <v>811</v>
      </c>
      <c r="D438" t="s">
        <v>22</v>
      </c>
      <c r="E438" t="s">
        <v>17</v>
      </c>
      <c r="F438" t="s">
        <v>27</v>
      </c>
      <c r="G438">
        <v>2</v>
      </c>
      <c r="H438" s="2">
        <v>58.66</v>
      </c>
      <c r="I438" s="3">
        <v>0.1</v>
      </c>
      <c r="J438" s="2">
        <v>105.59</v>
      </c>
      <c r="K438" t="s">
        <v>56</v>
      </c>
    </row>
    <row r="439" spans="1:11">
      <c r="A439" t="s">
        <v>812</v>
      </c>
      <c r="B439" s="1">
        <v>45945</v>
      </c>
      <c r="C439" t="s">
        <v>761</v>
      </c>
      <c r="D439" t="s">
        <v>22</v>
      </c>
      <c r="E439" t="s">
        <v>25</v>
      </c>
      <c r="F439" t="s">
        <v>78</v>
      </c>
      <c r="G439">
        <v>3</v>
      </c>
      <c r="H439" s="2">
        <v>41.05</v>
      </c>
      <c r="I439" s="3">
        <v>0.05</v>
      </c>
      <c r="J439" s="2">
        <v>116.99</v>
      </c>
      <c r="K439" t="s">
        <v>61</v>
      </c>
    </row>
    <row r="440" spans="1:11">
      <c r="A440" t="s">
        <v>813</v>
      </c>
      <c r="B440" s="1">
        <v>45815</v>
      </c>
      <c r="C440" t="s">
        <v>814</v>
      </c>
      <c r="D440" t="s">
        <v>30</v>
      </c>
      <c r="E440" t="s">
        <v>25</v>
      </c>
      <c r="F440" t="s">
        <v>78</v>
      </c>
      <c r="G440">
        <v>2</v>
      </c>
      <c r="H440" s="2">
        <v>34.79</v>
      </c>
      <c r="I440" s="3">
        <v>0</v>
      </c>
      <c r="J440" s="2">
        <v>69.58</v>
      </c>
      <c r="K440" t="s">
        <v>56</v>
      </c>
    </row>
    <row r="441" spans="1:11">
      <c r="A441" t="s">
        <v>815</v>
      </c>
      <c r="B441" s="1">
        <v>45674</v>
      </c>
      <c r="C441" t="s">
        <v>237</v>
      </c>
      <c r="D441" t="s">
        <v>18</v>
      </c>
      <c r="E441" t="s">
        <v>17</v>
      </c>
      <c r="F441" t="s">
        <v>27</v>
      </c>
      <c r="G441">
        <v>2</v>
      </c>
      <c r="H441" s="2">
        <v>68.08</v>
      </c>
      <c r="I441" s="3">
        <v>0.15</v>
      </c>
      <c r="J441" s="2">
        <v>115.74</v>
      </c>
      <c r="K441" t="s">
        <v>61</v>
      </c>
    </row>
    <row r="442" spans="1:11">
      <c r="A442" t="s">
        <v>816</v>
      </c>
      <c r="B442" s="1">
        <v>45730</v>
      </c>
      <c r="C442" t="s">
        <v>702</v>
      </c>
      <c r="D442" t="s">
        <v>18</v>
      </c>
      <c r="E442" t="s">
        <v>25</v>
      </c>
      <c r="F442" t="s">
        <v>36</v>
      </c>
      <c r="G442">
        <v>2</v>
      </c>
      <c r="H442" s="2">
        <v>82.64</v>
      </c>
      <c r="I442" s="3">
        <v>0.05</v>
      </c>
      <c r="J442" s="2">
        <v>157.02000000000001</v>
      </c>
      <c r="K442" t="s">
        <v>56</v>
      </c>
    </row>
    <row r="443" spans="1:11">
      <c r="A443" t="s">
        <v>817</v>
      </c>
      <c r="B443" s="1">
        <v>46001</v>
      </c>
      <c r="C443" t="s">
        <v>818</v>
      </c>
      <c r="D443" t="s">
        <v>22</v>
      </c>
      <c r="E443" t="s">
        <v>29</v>
      </c>
      <c r="F443" t="s">
        <v>92</v>
      </c>
      <c r="G443">
        <v>2</v>
      </c>
      <c r="H443" s="2">
        <v>52.84</v>
      </c>
      <c r="I443" s="3">
        <v>0</v>
      </c>
      <c r="J443" s="2">
        <v>105.68</v>
      </c>
      <c r="K443" t="s">
        <v>79</v>
      </c>
    </row>
    <row r="444" spans="1:11">
      <c r="A444" t="s">
        <v>819</v>
      </c>
      <c r="B444" s="1">
        <v>46012</v>
      </c>
      <c r="C444" t="s">
        <v>820</v>
      </c>
      <c r="D444" t="s">
        <v>30</v>
      </c>
      <c r="E444" t="s">
        <v>17</v>
      </c>
      <c r="F444" t="s">
        <v>23</v>
      </c>
      <c r="G444">
        <v>1</v>
      </c>
      <c r="H444" s="2">
        <v>143.15</v>
      </c>
      <c r="I444" s="3">
        <v>0</v>
      </c>
      <c r="J444" s="2">
        <v>143.15</v>
      </c>
      <c r="K444" t="s">
        <v>61</v>
      </c>
    </row>
    <row r="445" spans="1:11">
      <c r="A445" t="s">
        <v>821</v>
      </c>
      <c r="B445" s="1">
        <v>45872</v>
      </c>
      <c r="C445" t="s">
        <v>164</v>
      </c>
      <c r="D445" t="s">
        <v>30</v>
      </c>
      <c r="E445" t="s">
        <v>17</v>
      </c>
      <c r="F445" t="s">
        <v>27</v>
      </c>
      <c r="G445">
        <v>3</v>
      </c>
      <c r="H445" s="2">
        <v>59.75</v>
      </c>
      <c r="I445" s="3">
        <v>0.1</v>
      </c>
      <c r="J445" s="2">
        <v>161.33000000000001</v>
      </c>
      <c r="K445" t="s">
        <v>79</v>
      </c>
    </row>
    <row r="446" spans="1:11">
      <c r="A446" t="s">
        <v>822</v>
      </c>
      <c r="B446" s="1">
        <v>45903</v>
      </c>
      <c r="C446" t="s">
        <v>823</v>
      </c>
      <c r="D446" t="s">
        <v>18</v>
      </c>
      <c r="E446" t="s">
        <v>29</v>
      </c>
      <c r="F446" t="s">
        <v>68</v>
      </c>
      <c r="G446">
        <v>2</v>
      </c>
      <c r="H446" s="2">
        <v>48.45</v>
      </c>
      <c r="I446" s="3">
        <v>0</v>
      </c>
      <c r="J446" s="2">
        <v>96.9</v>
      </c>
      <c r="K446" t="s">
        <v>79</v>
      </c>
    </row>
    <row r="447" spans="1:11">
      <c r="A447" t="s">
        <v>824</v>
      </c>
      <c r="B447" s="1">
        <v>45808</v>
      </c>
      <c r="C447" t="s">
        <v>825</v>
      </c>
      <c r="D447" t="s">
        <v>22</v>
      </c>
      <c r="E447" t="s">
        <v>17</v>
      </c>
      <c r="F447" t="s">
        <v>19</v>
      </c>
      <c r="G447">
        <v>1</v>
      </c>
      <c r="H447" s="2">
        <v>91.96</v>
      </c>
      <c r="I447" s="3">
        <v>0</v>
      </c>
      <c r="J447" s="2">
        <v>91.96</v>
      </c>
      <c r="K447" t="s">
        <v>61</v>
      </c>
    </row>
    <row r="448" spans="1:11">
      <c r="A448" t="s">
        <v>826</v>
      </c>
      <c r="B448" s="1">
        <v>45740</v>
      </c>
      <c r="C448" t="s">
        <v>827</v>
      </c>
      <c r="D448" t="s">
        <v>30</v>
      </c>
      <c r="E448" t="s">
        <v>25</v>
      </c>
      <c r="F448" t="s">
        <v>78</v>
      </c>
      <c r="G448">
        <v>1</v>
      </c>
      <c r="H448" s="2">
        <v>45.27</v>
      </c>
      <c r="I448" s="3">
        <v>0</v>
      </c>
      <c r="J448" s="2">
        <v>45.27</v>
      </c>
      <c r="K448" t="s">
        <v>56</v>
      </c>
    </row>
    <row r="449" spans="1:11">
      <c r="A449" t="s">
        <v>828</v>
      </c>
      <c r="B449" s="1">
        <v>45673</v>
      </c>
      <c r="C449" t="s">
        <v>258</v>
      </c>
      <c r="D449" t="s">
        <v>18</v>
      </c>
      <c r="E449" t="s">
        <v>25</v>
      </c>
      <c r="F449" t="s">
        <v>38</v>
      </c>
      <c r="G449">
        <v>3</v>
      </c>
      <c r="H449" s="2">
        <v>107.63</v>
      </c>
      <c r="I449" s="3">
        <v>0.1</v>
      </c>
      <c r="J449" s="2">
        <v>290.60000000000002</v>
      </c>
      <c r="K449" t="s">
        <v>79</v>
      </c>
    </row>
    <row r="450" spans="1:11">
      <c r="A450" t="s">
        <v>829</v>
      </c>
      <c r="B450" s="1">
        <v>45827</v>
      </c>
      <c r="C450" t="s">
        <v>830</v>
      </c>
      <c r="D450" t="s">
        <v>26</v>
      </c>
      <c r="E450" t="s">
        <v>33</v>
      </c>
      <c r="F450" t="s">
        <v>31</v>
      </c>
      <c r="G450">
        <v>4</v>
      </c>
      <c r="H450" s="2">
        <v>72.89</v>
      </c>
      <c r="I450" s="3">
        <v>0.15</v>
      </c>
      <c r="J450" s="2">
        <v>247.83</v>
      </c>
      <c r="K450" t="s">
        <v>56</v>
      </c>
    </row>
    <row r="451" spans="1:11">
      <c r="A451" t="s">
        <v>831</v>
      </c>
      <c r="B451" s="1">
        <v>45802</v>
      </c>
      <c r="C451" t="s">
        <v>832</v>
      </c>
      <c r="D451" t="s">
        <v>30</v>
      </c>
      <c r="E451" t="s">
        <v>33</v>
      </c>
      <c r="F451" t="s">
        <v>34</v>
      </c>
      <c r="G451">
        <v>1</v>
      </c>
      <c r="H451" s="2">
        <v>25.13</v>
      </c>
      <c r="I451" s="3">
        <v>0.15</v>
      </c>
      <c r="J451" s="2">
        <v>21.36</v>
      </c>
      <c r="K451" t="s">
        <v>79</v>
      </c>
    </row>
    <row r="452" spans="1:11">
      <c r="A452" t="s">
        <v>833</v>
      </c>
      <c r="B452" s="1">
        <v>45685</v>
      </c>
      <c r="C452" t="s">
        <v>794</v>
      </c>
      <c r="D452" t="s">
        <v>22</v>
      </c>
      <c r="E452" t="s">
        <v>25</v>
      </c>
      <c r="F452" t="s">
        <v>36</v>
      </c>
      <c r="G452">
        <v>1</v>
      </c>
      <c r="H452" s="2">
        <v>78.22</v>
      </c>
      <c r="I452" s="3">
        <v>0.15</v>
      </c>
      <c r="J452" s="2">
        <v>66.489999999999995</v>
      </c>
      <c r="K452" t="s">
        <v>79</v>
      </c>
    </row>
    <row r="453" spans="1:11">
      <c r="A453" t="s">
        <v>834</v>
      </c>
      <c r="B453" s="1">
        <v>45671</v>
      </c>
      <c r="C453" t="s">
        <v>298</v>
      </c>
      <c r="D453" t="s">
        <v>18</v>
      </c>
      <c r="E453" t="s">
        <v>33</v>
      </c>
      <c r="F453" t="s">
        <v>31</v>
      </c>
      <c r="G453">
        <v>1</v>
      </c>
      <c r="H453" s="2">
        <v>70.03</v>
      </c>
      <c r="I453" s="3">
        <v>0</v>
      </c>
      <c r="J453" s="2">
        <v>70.03</v>
      </c>
      <c r="K453" t="s">
        <v>61</v>
      </c>
    </row>
    <row r="454" spans="1:11">
      <c r="A454" t="s">
        <v>835</v>
      </c>
      <c r="B454" s="1">
        <v>45861</v>
      </c>
      <c r="C454" t="s">
        <v>836</v>
      </c>
      <c r="D454" t="s">
        <v>30</v>
      </c>
      <c r="E454" t="s">
        <v>21</v>
      </c>
      <c r="F454" t="s">
        <v>40</v>
      </c>
      <c r="G454">
        <v>1</v>
      </c>
      <c r="H454" s="2">
        <v>52.34</v>
      </c>
      <c r="I454" s="3">
        <v>0</v>
      </c>
      <c r="J454" s="2">
        <v>52.34</v>
      </c>
      <c r="K454" t="s">
        <v>79</v>
      </c>
    </row>
    <row r="455" spans="1:11">
      <c r="A455" t="s">
        <v>837</v>
      </c>
      <c r="B455" s="1">
        <v>45847</v>
      </c>
      <c r="C455" t="s">
        <v>662</v>
      </c>
      <c r="D455" t="s">
        <v>30</v>
      </c>
      <c r="E455" t="s">
        <v>25</v>
      </c>
      <c r="F455" t="s">
        <v>38</v>
      </c>
      <c r="G455">
        <v>1</v>
      </c>
      <c r="H455" s="2">
        <v>118.66</v>
      </c>
      <c r="I455" s="3">
        <v>0.05</v>
      </c>
      <c r="J455" s="2">
        <v>112.73</v>
      </c>
      <c r="K455" t="s">
        <v>61</v>
      </c>
    </row>
    <row r="456" spans="1:11">
      <c r="A456" t="s">
        <v>838</v>
      </c>
      <c r="B456" s="1">
        <v>45773</v>
      </c>
      <c r="C456" t="s">
        <v>839</v>
      </c>
      <c r="D456" t="s">
        <v>26</v>
      </c>
      <c r="E456" t="s">
        <v>33</v>
      </c>
      <c r="F456" t="s">
        <v>34</v>
      </c>
      <c r="G456">
        <v>2</v>
      </c>
      <c r="H456" s="2">
        <v>26.1</v>
      </c>
      <c r="I456" s="3">
        <v>0</v>
      </c>
      <c r="J456" s="2">
        <v>52.2</v>
      </c>
      <c r="K456" t="s">
        <v>56</v>
      </c>
    </row>
    <row r="457" spans="1:11">
      <c r="A457" t="s">
        <v>840</v>
      </c>
      <c r="B457" s="1">
        <v>45869</v>
      </c>
      <c r="C457" t="s">
        <v>841</v>
      </c>
      <c r="D457" t="s">
        <v>30</v>
      </c>
      <c r="E457" t="s">
        <v>29</v>
      </c>
      <c r="F457" t="s">
        <v>68</v>
      </c>
      <c r="G457">
        <v>1</v>
      </c>
      <c r="H457" s="2">
        <v>39.159999999999997</v>
      </c>
      <c r="I457" s="3">
        <v>0.1</v>
      </c>
      <c r="J457" s="2">
        <v>35.24</v>
      </c>
      <c r="K457" t="s">
        <v>56</v>
      </c>
    </row>
    <row r="458" spans="1:11">
      <c r="A458" t="s">
        <v>842</v>
      </c>
      <c r="B458" s="1">
        <v>46009</v>
      </c>
      <c r="C458" t="s">
        <v>843</v>
      </c>
      <c r="D458" t="s">
        <v>30</v>
      </c>
      <c r="E458" t="s">
        <v>21</v>
      </c>
      <c r="F458" t="s">
        <v>40</v>
      </c>
      <c r="G458">
        <v>2</v>
      </c>
      <c r="H458" s="2">
        <v>45.46</v>
      </c>
      <c r="I458" s="3">
        <v>0.05</v>
      </c>
      <c r="J458" s="2">
        <v>86.37</v>
      </c>
      <c r="K458" t="s">
        <v>56</v>
      </c>
    </row>
    <row r="459" spans="1:11">
      <c r="A459" t="s">
        <v>844</v>
      </c>
      <c r="B459" s="1">
        <v>45675</v>
      </c>
      <c r="C459" t="s">
        <v>845</v>
      </c>
      <c r="D459" t="s">
        <v>18</v>
      </c>
      <c r="E459" t="s">
        <v>21</v>
      </c>
      <c r="F459" t="s">
        <v>71</v>
      </c>
      <c r="G459">
        <v>2</v>
      </c>
      <c r="H459" s="2">
        <v>70.42</v>
      </c>
      <c r="I459" s="3">
        <v>0.15</v>
      </c>
      <c r="J459" s="2">
        <v>119.71</v>
      </c>
      <c r="K459" t="s">
        <v>61</v>
      </c>
    </row>
    <row r="460" spans="1:11">
      <c r="A460" t="s">
        <v>846</v>
      </c>
      <c r="B460" s="1">
        <v>45746</v>
      </c>
      <c r="C460" t="s">
        <v>847</v>
      </c>
      <c r="D460" t="s">
        <v>30</v>
      </c>
      <c r="E460" t="s">
        <v>17</v>
      </c>
      <c r="F460" t="s">
        <v>27</v>
      </c>
      <c r="G460">
        <v>4</v>
      </c>
      <c r="H460" s="2">
        <v>65.89</v>
      </c>
      <c r="I460" s="3">
        <v>0</v>
      </c>
      <c r="J460" s="2">
        <v>263.56</v>
      </c>
      <c r="K460" t="s">
        <v>79</v>
      </c>
    </row>
    <row r="461" spans="1:11">
      <c r="A461" t="s">
        <v>848</v>
      </c>
      <c r="B461" s="1">
        <v>46007</v>
      </c>
      <c r="C461" t="s">
        <v>849</v>
      </c>
      <c r="D461" t="s">
        <v>26</v>
      </c>
      <c r="E461" t="s">
        <v>25</v>
      </c>
      <c r="F461" t="s">
        <v>38</v>
      </c>
      <c r="G461">
        <v>1</v>
      </c>
      <c r="H461" s="2">
        <v>133.44999999999999</v>
      </c>
      <c r="I461" s="3">
        <v>0</v>
      </c>
      <c r="J461" s="2">
        <v>133.44999999999999</v>
      </c>
      <c r="K461" t="s">
        <v>56</v>
      </c>
    </row>
    <row r="462" spans="1:11">
      <c r="A462" t="s">
        <v>850</v>
      </c>
      <c r="B462" s="1">
        <v>45692</v>
      </c>
      <c r="C462" t="s">
        <v>233</v>
      </c>
      <c r="D462" t="s">
        <v>30</v>
      </c>
      <c r="E462" t="s">
        <v>17</v>
      </c>
      <c r="F462" t="s">
        <v>23</v>
      </c>
      <c r="G462">
        <v>1</v>
      </c>
      <c r="H462" s="2">
        <v>126.57</v>
      </c>
      <c r="I462" s="3">
        <v>0.05</v>
      </c>
      <c r="J462" s="2">
        <v>120.24</v>
      </c>
      <c r="K462" t="s">
        <v>79</v>
      </c>
    </row>
    <row r="463" spans="1:11">
      <c r="A463" t="s">
        <v>851</v>
      </c>
      <c r="B463" s="1">
        <v>46016</v>
      </c>
      <c r="C463" t="s">
        <v>442</v>
      </c>
      <c r="D463" t="s">
        <v>22</v>
      </c>
      <c r="E463" t="s">
        <v>29</v>
      </c>
      <c r="F463" t="s">
        <v>68</v>
      </c>
      <c r="G463">
        <v>2</v>
      </c>
      <c r="H463" s="2">
        <v>49.86</v>
      </c>
      <c r="I463" s="3">
        <v>0</v>
      </c>
      <c r="J463" s="2">
        <v>99.72</v>
      </c>
      <c r="K463" t="s">
        <v>79</v>
      </c>
    </row>
    <row r="464" spans="1:11">
      <c r="A464" t="s">
        <v>852</v>
      </c>
      <c r="B464" s="1">
        <v>45948</v>
      </c>
      <c r="C464" t="s">
        <v>853</v>
      </c>
      <c r="D464" t="s">
        <v>18</v>
      </c>
      <c r="E464" t="s">
        <v>29</v>
      </c>
      <c r="F464" t="s">
        <v>68</v>
      </c>
      <c r="G464">
        <v>2</v>
      </c>
      <c r="H464" s="2">
        <v>52.58</v>
      </c>
      <c r="I464" s="3">
        <v>0</v>
      </c>
      <c r="J464" s="2">
        <v>105.16</v>
      </c>
      <c r="K464" t="s">
        <v>61</v>
      </c>
    </row>
    <row r="465" spans="1:11">
      <c r="A465" t="s">
        <v>854</v>
      </c>
      <c r="B465" s="1">
        <v>45932</v>
      </c>
      <c r="C465" t="s">
        <v>855</v>
      </c>
      <c r="D465" t="s">
        <v>30</v>
      </c>
      <c r="E465" t="s">
        <v>25</v>
      </c>
      <c r="F465" t="s">
        <v>36</v>
      </c>
      <c r="G465">
        <v>3</v>
      </c>
      <c r="H465" s="2">
        <v>83.41</v>
      </c>
      <c r="I465" s="3">
        <v>0.1</v>
      </c>
      <c r="J465" s="2">
        <v>225.21</v>
      </c>
      <c r="K465" t="s">
        <v>79</v>
      </c>
    </row>
    <row r="466" spans="1:11">
      <c r="A466" t="s">
        <v>856</v>
      </c>
      <c r="B466" s="1">
        <v>45746</v>
      </c>
      <c r="C466" t="s">
        <v>445</v>
      </c>
      <c r="D466" t="s">
        <v>30</v>
      </c>
      <c r="E466" t="s">
        <v>33</v>
      </c>
      <c r="F466" t="s">
        <v>34</v>
      </c>
      <c r="G466">
        <v>1</v>
      </c>
      <c r="H466" s="2">
        <v>30.57</v>
      </c>
      <c r="I466" s="3">
        <v>0.1</v>
      </c>
      <c r="J466" s="2">
        <v>27.51</v>
      </c>
      <c r="K466" t="s">
        <v>61</v>
      </c>
    </row>
    <row r="467" spans="1:11">
      <c r="A467" t="s">
        <v>857</v>
      </c>
      <c r="B467" s="1">
        <v>46011</v>
      </c>
      <c r="C467" t="s">
        <v>419</v>
      </c>
      <c r="D467" t="s">
        <v>18</v>
      </c>
      <c r="E467" t="s">
        <v>33</v>
      </c>
      <c r="F467" t="s">
        <v>31</v>
      </c>
      <c r="G467">
        <v>1</v>
      </c>
      <c r="H467" s="2">
        <v>74.5</v>
      </c>
      <c r="I467" s="3">
        <v>0.05</v>
      </c>
      <c r="J467" s="2">
        <v>70.77</v>
      </c>
      <c r="K467" t="s">
        <v>61</v>
      </c>
    </row>
    <row r="468" spans="1:11">
      <c r="A468" t="s">
        <v>858</v>
      </c>
      <c r="B468" s="1">
        <v>45813</v>
      </c>
      <c r="C468" t="s">
        <v>364</v>
      </c>
      <c r="D468" t="s">
        <v>22</v>
      </c>
      <c r="E468" t="s">
        <v>33</v>
      </c>
      <c r="F468" t="s">
        <v>34</v>
      </c>
      <c r="G468">
        <v>1</v>
      </c>
      <c r="H468" s="2">
        <v>29.35</v>
      </c>
      <c r="I468" s="3">
        <v>0</v>
      </c>
      <c r="J468" s="2">
        <v>29.35</v>
      </c>
      <c r="K468" t="s">
        <v>61</v>
      </c>
    </row>
    <row r="469" spans="1:11">
      <c r="A469" t="s">
        <v>859</v>
      </c>
      <c r="B469" s="1">
        <v>45884</v>
      </c>
      <c r="C469" t="s">
        <v>860</v>
      </c>
      <c r="D469" t="s">
        <v>30</v>
      </c>
      <c r="E469" t="s">
        <v>25</v>
      </c>
      <c r="F469" t="s">
        <v>36</v>
      </c>
      <c r="G469">
        <v>1</v>
      </c>
      <c r="H469" s="2">
        <v>87.89</v>
      </c>
      <c r="I469" s="3">
        <v>0</v>
      </c>
      <c r="J469" s="2">
        <v>87.89</v>
      </c>
      <c r="K469" t="s">
        <v>79</v>
      </c>
    </row>
    <row r="470" spans="1:11">
      <c r="A470" t="s">
        <v>861</v>
      </c>
      <c r="B470" s="1">
        <v>45866</v>
      </c>
      <c r="C470" t="s">
        <v>410</v>
      </c>
      <c r="D470" t="s">
        <v>22</v>
      </c>
      <c r="E470" t="s">
        <v>25</v>
      </c>
      <c r="F470" t="s">
        <v>78</v>
      </c>
      <c r="G470">
        <v>1</v>
      </c>
      <c r="H470" s="2">
        <v>39.799999999999997</v>
      </c>
      <c r="I470" s="3">
        <v>0.05</v>
      </c>
      <c r="J470" s="2">
        <v>37.81</v>
      </c>
      <c r="K470" t="s">
        <v>79</v>
      </c>
    </row>
    <row r="471" spans="1:11">
      <c r="A471" t="s">
        <v>862</v>
      </c>
      <c r="B471" s="1">
        <v>45817</v>
      </c>
      <c r="C471" t="s">
        <v>176</v>
      </c>
      <c r="D471" t="s">
        <v>18</v>
      </c>
      <c r="E471" t="s">
        <v>25</v>
      </c>
      <c r="F471" t="s">
        <v>78</v>
      </c>
      <c r="G471">
        <v>1</v>
      </c>
      <c r="H471" s="2">
        <v>34.9</v>
      </c>
      <c r="I471" s="3">
        <v>0.15</v>
      </c>
      <c r="J471" s="2">
        <v>29.66</v>
      </c>
      <c r="K471" t="s">
        <v>79</v>
      </c>
    </row>
    <row r="472" spans="1:11">
      <c r="A472" t="s">
        <v>863</v>
      </c>
      <c r="B472" s="1">
        <v>45756</v>
      </c>
      <c r="C472" t="s">
        <v>864</v>
      </c>
      <c r="D472" t="s">
        <v>26</v>
      </c>
      <c r="E472" t="s">
        <v>33</v>
      </c>
      <c r="F472" t="s">
        <v>31</v>
      </c>
      <c r="G472">
        <v>3</v>
      </c>
      <c r="H472" s="2">
        <v>68.989999999999995</v>
      </c>
      <c r="I472" s="3">
        <v>0.1</v>
      </c>
      <c r="J472" s="2">
        <v>186.27</v>
      </c>
      <c r="K472" t="s">
        <v>56</v>
      </c>
    </row>
    <row r="473" spans="1:11">
      <c r="A473" t="s">
        <v>865</v>
      </c>
      <c r="B473" s="1">
        <v>45759</v>
      </c>
      <c r="C473" t="s">
        <v>866</v>
      </c>
      <c r="D473" t="s">
        <v>18</v>
      </c>
      <c r="E473" t="s">
        <v>33</v>
      </c>
      <c r="F473" t="s">
        <v>34</v>
      </c>
      <c r="G473">
        <v>1</v>
      </c>
      <c r="H473" s="2">
        <v>29.09</v>
      </c>
      <c r="I473" s="3">
        <v>0.1</v>
      </c>
      <c r="J473" s="2">
        <v>26.18</v>
      </c>
      <c r="K473" t="s">
        <v>79</v>
      </c>
    </row>
    <row r="474" spans="1:11">
      <c r="A474" t="s">
        <v>867</v>
      </c>
      <c r="B474" s="1">
        <v>45848</v>
      </c>
      <c r="C474" t="s">
        <v>284</v>
      </c>
      <c r="D474" t="s">
        <v>26</v>
      </c>
      <c r="E474" t="s">
        <v>21</v>
      </c>
      <c r="F474" t="s">
        <v>40</v>
      </c>
      <c r="G474">
        <v>2</v>
      </c>
      <c r="H474" s="2">
        <v>44.52</v>
      </c>
      <c r="I474" s="3">
        <v>0.1</v>
      </c>
      <c r="J474" s="2">
        <v>80.14</v>
      </c>
      <c r="K474" t="s">
        <v>61</v>
      </c>
    </row>
    <row r="475" spans="1:11">
      <c r="A475" t="s">
        <v>868</v>
      </c>
      <c r="B475" s="1">
        <v>45741</v>
      </c>
      <c r="C475" t="s">
        <v>800</v>
      </c>
      <c r="D475" t="s">
        <v>30</v>
      </c>
      <c r="E475" t="s">
        <v>33</v>
      </c>
      <c r="F475" t="s">
        <v>34</v>
      </c>
      <c r="G475">
        <v>2</v>
      </c>
      <c r="H475" s="2">
        <v>31.24</v>
      </c>
      <c r="I475" s="3">
        <v>0.05</v>
      </c>
      <c r="J475" s="2">
        <v>59.36</v>
      </c>
      <c r="K475" t="s">
        <v>79</v>
      </c>
    </row>
    <row r="476" spans="1:11">
      <c r="A476" t="s">
        <v>869</v>
      </c>
      <c r="B476" s="1">
        <v>45741</v>
      </c>
      <c r="C476" t="s">
        <v>870</v>
      </c>
      <c r="D476" t="s">
        <v>22</v>
      </c>
      <c r="E476" t="s">
        <v>29</v>
      </c>
      <c r="F476" t="s">
        <v>68</v>
      </c>
      <c r="G476">
        <v>2</v>
      </c>
      <c r="H476" s="2">
        <v>41.43</v>
      </c>
      <c r="I476" s="3">
        <v>0</v>
      </c>
      <c r="J476" s="2">
        <v>82.86</v>
      </c>
      <c r="K476" t="s">
        <v>61</v>
      </c>
    </row>
    <row r="477" spans="1:11">
      <c r="A477" t="s">
        <v>871</v>
      </c>
      <c r="B477" s="1">
        <v>45991</v>
      </c>
      <c r="C477" t="s">
        <v>534</v>
      </c>
      <c r="D477" t="s">
        <v>22</v>
      </c>
      <c r="E477" t="s">
        <v>25</v>
      </c>
      <c r="F477" t="s">
        <v>38</v>
      </c>
      <c r="G477">
        <v>1</v>
      </c>
      <c r="H477" s="2">
        <v>135.1</v>
      </c>
      <c r="I477" s="3">
        <v>0</v>
      </c>
      <c r="J477" s="2">
        <v>135.1</v>
      </c>
      <c r="K477" t="s">
        <v>56</v>
      </c>
    </row>
    <row r="478" spans="1:11">
      <c r="A478" t="s">
        <v>872</v>
      </c>
      <c r="B478" s="1">
        <v>45746</v>
      </c>
      <c r="C478" t="s">
        <v>728</v>
      </c>
      <c r="D478" t="s">
        <v>26</v>
      </c>
      <c r="E478" t="s">
        <v>29</v>
      </c>
      <c r="F478" t="s">
        <v>68</v>
      </c>
      <c r="G478">
        <v>2</v>
      </c>
      <c r="H478" s="2">
        <v>41.57</v>
      </c>
      <c r="I478" s="3">
        <v>0.15</v>
      </c>
      <c r="J478" s="2">
        <v>70.67</v>
      </c>
      <c r="K478" t="s">
        <v>61</v>
      </c>
    </row>
    <row r="479" spans="1:11">
      <c r="A479" t="s">
        <v>873</v>
      </c>
      <c r="B479" s="1">
        <v>45850</v>
      </c>
      <c r="C479" t="s">
        <v>874</v>
      </c>
      <c r="D479" t="s">
        <v>30</v>
      </c>
      <c r="E479" t="s">
        <v>25</v>
      </c>
      <c r="F479" t="s">
        <v>36</v>
      </c>
      <c r="G479">
        <v>1</v>
      </c>
      <c r="H479" s="2">
        <v>82.06</v>
      </c>
      <c r="I479" s="3">
        <v>0.05</v>
      </c>
      <c r="J479" s="2">
        <v>77.959999999999994</v>
      </c>
      <c r="K479" t="s">
        <v>56</v>
      </c>
    </row>
    <row r="480" spans="1:11">
      <c r="A480" t="s">
        <v>875</v>
      </c>
      <c r="B480" s="1">
        <v>45710</v>
      </c>
      <c r="C480" t="s">
        <v>334</v>
      </c>
      <c r="D480" t="s">
        <v>26</v>
      </c>
      <c r="E480" t="s">
        <v>17</v>
      </c>
      <c r="F480" t="s">
        <v>19</v>
      </c>
      <c r="G480">
        <v>1</v>
      </c>
      <c r="H480" s="2">
        <v>84.42</v>
      </c>
      <c r="I480" s="3">
        <v>0.05</v>
      </c>
      <c r="J480" s="2">
        <v>80.2</v>
      </c>
      <c r="K480" t="s">
        <v>61</v>
      </c>
    </row>
    <row r="481" spans="1:11">
      <c r="A481" t="s">
        <v>876</v>
      </c>
      <c r="B481" s="1">
        <v>46008</v>
      </c>
      <c r="C481" t="s">
        <v>877</v>
      </c>
      <c r="D481" t="s">
        <v>26</v>
      </c>
      <c r="E481" t="s">
        <v>17</v>
      </c>
      <c r="F481" t="s">
        <v>23</v>
      </c>
      <c r="G481">
        <v>1</v>
      </c>
      <c r="H481" s="2">
        <v>123.97</v>
      </c>
      <c r="I481" s="3">
        <v>0.05</v>
      </c>
      <c r="J481" s="2">
        <v>117.77</v>
      </c>
      <c r="K481" t="s">
        <v>61</v>
      </c>
    </row>
    <row r="482" spans="1:11">
      <c r="A482" t="s">
        <v>878</v>
      </c>
      <c r="B482" s="1">
        <v>45993</v>
      </c>
      <c r="C482" t="s">
        <v>423</v>
      </c>
      <c r="D482" t="s">
        <v>22</v>
      </c>
      <c r="E482" t="s">
        <v>25</v>
      </c>
      <c r="F482" t="s">
        <v>78</v>
      </c>
      <c r="G482">
        <v>4</v>
      </c>
      <c r="H482" s="2">
        <v>41.53</v>
      </c>
      <c r="I482" s="3">
        <v>0</v>
      </c>
      <c r="J482" s="2">
        <v>166.12</v>
      </c>
      <c r="K482" t="s">
        <v>79</v>
      </c>
    </row>
    <row r="483" spans="1:11">
      <c r="A483" t="s">
        <v>879</v>
      </c>
      <c r="B483" s="1">
        <v>45965</v>
      </c>
      <c r="C483" t="s">
        <v>312</v>
      </c>
      <c r="D483" t="s">
        <v>26</v>
      </c>
      <c r="E483" t="s">
        <v>25</v>
      </c>
      <c r="F483" t="s">
        <v>38</v>
      </c>
      <c r="G483">
        <v>2</v>
      </c>
      <c r="H483" s="2">
        <v>127.88</v>
      </c>
      <c r="I483" s="3">
        <v>0</v>
      </c>
      <c r="J483" s="2">
        <v>255.76</v>
      </c>
      <c r="K483" t="s">
        <v>61</v>
      </c>
    </row>
    <row r="484" spans="1:11">
      <c r="A484" t="s">
        <v>880</v>
      </c>
      <c r="B484" s="1">
        <v>45872</v>
      </c>
      <c r="C484" t="s">
        <v>608</v>
      </c>
      <c r="D484" t="s">
        <v>26</v>
      </c>
      <c r="E484" t="s">
        <v>25</v>
      </c>
      <c r="F484" t="s">
        <v>38</v>
      </c>
      <c r="G484">
        <v>1</v>
      </c>
      <c r="H484" s="2">
        <v>102.54</v>
      </c>
      <c r="I484" s="3">
        <v>0.15</v>
      </c>
      <c r="J484" s="2">
        <v>87.16</v>
      </c>
      <c r="K484" t="s">
        <v>56</v>
      </c>
    </row>
    <row r="485" spans="1:11">
      <c r="A485" t="s">
        <v>881</v>
      </c>
      <c r="B485" s="1">
        <v>45771</v>
      </c>
      <c r="C485" t="s">
        <v>882</v>
      </c>
      <c r="D485" t="s">
        <v>26</v>
      </c>
      <c r="E485" t="s">
        <v>29</v>
      </c>
      <c r="F485" t="s">
        <v>92</v>
      </c>
      <c r="G485">
        <v>1</v>
      </c>
      <c r="H485" s="2">
        <v>61</v>
      </c>
      <c r="I485" s="3">
        <v>0.05</v>
      </c>
      <c r="J485" s="2">
        <v>57.95</v>
      </c>
      <c r="K485" t="s">
        <v>79</v>
      </c>
    </row>
    <row r="486" spans="1:11">
      <c r="A486" t="s">
        <v>883</v>
      </c>
      <c r="B486" s="1">
        <v>45994</v>
      </c>
      <c r="C486" t="s">
        <v>849</v>
      </c>
      <c r="D486" t="s">
        <v>22</v>
      </c>
      <c r="E486" t="s">
        <v>21</v>
      </c>
      <c r="F486" t="s">
        <v>71</v>
      </c>
      <c r="G486">
        <v>1</v>
      </c>
      <c r="H486" s="2">
        <v>60.87</v>
      </c>
      <c r="I486" s="3">
        <v>0</v>
      </c>
      <c r="J486" s="2">
        <v>60.87</v>
      </c>
      <c r="K486" t="s">
        <v>56</v>
      </c>
    </row>
    <row r="487" spans="1:11">
      <c r="A487" t="s">
        <v>884</v>
      </c>
      <c r="B487" s="1">
        <v>45829</v>
      </c>
      <c r="C487" t="s">
        <v>885</v>
      </c>
      <c r="D487" t="s">
        <v>26</v>
      </c>
      <c r="E487" t="s">
        <v>29</v>
      </c>
      <c r="F487" t="s">
        <v>92</v>
      </c>
      <c r="G487">
        <v>1</v>
      </c>
      <c r="H487" s="2">
        <v>53.2</v>
      </c>
      <c r="I487" s="3">
        <v>0.05</v>
      </c>
      <c r="J487" s="2">
        <v>50.54</v>
      </c>
      <c r="K487" t="s">
        <v>61</v>
      </c>
    </row>
    <row r="488" spans="1:11">
      <c r="A488" t="s">
        <v>886</v>
      </c>
      <c r="B488" s="1">
        <v>45791</v>
      </c>
      <c r="C488" t="s">
        <v>641</v>
      </c>
      <c r="D488" t="s">
        <v>18</v>
      </c>
      <c r="E488" t="s">
        <v>29</v>
      </c>
      <c r="F488" t="s">
        <v>68</v>
      </c>
      <c r="G488">
        <v>1</v>
      </c>
      <c r="H488" s="2">
        <v>50.89</v>
      </c>
      <c r="I488" s="3">
        <v>0.1</v>
      </c>
      <c r="J488" s="2">
        <v>45.8</v>
      </c>
      <c r="K488" t="s">
        <v>61</v>
      </c>
    </row>
    <row r="489" spans="1:11">
      <c r="A489" t="s">
        <v>887</v>
      </c>
      <c r="B489" s="1">
        <v>45757</v>
      </c>
      <c r="C489" t="s">
        <v>888</v>
      </c>
      <c r="D489" t="s">
        <v>30</v>
      </c>
      <c r="E489" t="s">
        <v>21</v>
      </c>
      <c r="F489" t="s">
        <v>71</v>
      </c>
      <c r="G489">
        <v>1</v>
      </c>
      <c r="H489" s="2">
        <v>74.150000000000006</v>
      </c>
      <c r="I489" s="3">
        <v>0.15</v>
      </c>
      <c r="J489" s="2">
        <v>63.03</v>
      </c>
      <c r="K489" t="s">
        <v>79</v>
      </c>
    </row>
    <row r="490" spans="1:11">
      <c r="A490" t="s">
        <v>889</v>
      </c>
      <c r="B490" s="1">
        <v>45735</v>
      </c>
      <c r="C490" t="s">
        <v>451</v>
      </c>
      <c r="D490" t="s">
        <v>22</v>
      </c>
      <c r="E490" t="s">
        <v>17</v>
      </c>
      <c r="F490" t="s">
        <v>27</v>
      </c>
      <c r="G490">
        <v>4</v>
      </c>
      <c r="H490" s="2">
        <v>56.82</v>
      </c>
      <c r="I490" s="3">
        <v>0.15</v>
      </c>
      <c r="J490" s="2">
        <v>193.19</v>
      </c>
      <c r="K490" t="s">
        <v>61</v>
      </c>
    </row>
    <row r="491" spans="1:11">
      <c r="A491" t="s">
        <v>890</v>
      </c>
      <c r="B491" s="1">
        <v>45750</v>
      </c>
      <c r="C491" t="s">
        <v>366</v>
      </c>
      <c r="D491" t="s">
        <v>18</v>
      </c>
      <c r="E491" t="s">
        <v>17</v>
      </c>
      <c r="F491" t="s">
        <v>23</v>
      </c>
      <c r="G491">
        <v>1</v>
      </c>
      <c r="H491" s="2">
        <v>136.51</v>
      </c>
      <c r="I491" s="3">
        <v>0</v>
      </c>
      <c r="J491" s="2">
        <v>136.51</v>
      </c>
      <c r="K491" t="s">
        <v>79</v>
      </c>
    </row>
    <row r="492" spans="1:11">
      <c r="A492" t="s">
        <v>891</v>
      </c>
      <c r="B492" s="1">
        <v>45889</v>
      </c>
      <c r="C492" t="s">
        <v>892</v>
      </c>
      <c r="D492" t="s">
        <v>30</v>
      </c>
      <c r="E492" t="s">
        <v>33</v>
      </c>
      <c r="F492" t="s">
        <v>34</v>
      </c>
      <c r="G492">
        <v>1</v>
      </c>
      <c r="H492" s="2">
        <v>32.049999999999997</v>
      </c>
      <c r="I492" s="3">
        <v>0.15</v>
      </c>
      <c r="J492" s="2">
        <v>27.24</v>
      </c>
      <c r="K492" t="s">
        <v>79</v>
      </c>
    </row>
    <row r="493" spans="1:11">
      <c r="A493" t="s">
        <v>893</v>
      </c>
      <c r="B493" s="1">
        <v>45724</v>
      </c>
      <c r="C493" t="s">
        <v>894</v>
      </c>
      <c r="D493" t="s">
        <v>30</v>
      </c>
      <c r="E493" t="s">
        <v>29</v>
      </c>
      <c r="F493" t="s">
        <v>68</v>
      </c>
      <c r="G493">
        <v>1</v>
      </c>
      <c r="H493" s="2">
        <v>44.63</v>
      </c>
      <c r="I493" s="3">
        <v>0.1</v>
      </c>
      <c r="J493" s="2">
        <v>40.17</v>
      </c>
      <c r="K493" t="s">
        <v>79</v>
      </c>
    </row>
    <row r="494" spans="1:11">
      <c r="A494" t="s">
        <v>895</v>
      </c>
      <c r="B494" s="1">
        <v>45677</v>
      </c>
      <c r="C494" t="s">
        <v>178</v>
      </c>
      <c r="D494" t="s">
        <v>22</v>
      </c>
      <c r="E494" t="s">
        <v>21</v>
      </c>
      <c r="F494" t="s">
        <v>71</v>
      </c>
      <c r="G494">
        <v>1</v>
      </c>
      <c r="H494" s="2">
        <v>67.150000000000006</v>
      </c>
      <c r="I494" s="3">
        <v>0</v>
      </c>
      <c r="J494" s="2">
        <v>67.150000000000006</v>
      </c>
      <c r="K494" t="s">
        <v>79</v>
      </c>
    </row>
    <row r="495" spans="1:11">
      <c r="A495" t="s">
        <v>896</v>
      </c>
      <c r="B495" s="1">
        <v>46004</v>
      </c>
      <c r="C495" t="s">
        <v>897</v>
      </c>
      <c r="D495" t="s">
        <v>22</v>
      </c>
      <c r="E495" t="s">
        <v>17</v>
      </c>
      <c r="F495" t="s">
        <v>19</v>
      </c>
      <c r="G495">
        <v>2</v>
      </c>
      <c r="H495" s="2">
        <v>73.64</v>
      </c>
      <c r="I495" s="3">
        <v>0.05</v>
      </c>
      <c r="J495" s="2">
        <v>139.91999999999999</v>
      </c>
      <c r="K495" t="s">
        <v>79</v>
      </c>
    </row>
    <row r="496" spans="1:11">
      <c r="A496" t="s">
        <v>898</v>
      </c>
      <c r="B496" s="1">
        <v>45854</v>
      </c>
      <c r="C496" t="s">
        <v>888</v>
      </c>
      <c r="D496" t="s">
        <v>26</v>
      </c>
      <c r="E496" t="s">
        <v>21</v>
      </c>
      <c r="F496" t="s">
        <v>71</v>
      </c>
      <c r="G496">
        <v>2</v>
      </c>
      <c r="H496" s="2">
        <v>62.45</v>
      </c>
      <c r="I496" s="3">
        <v>0</v>
      </c>
      <c r="J496" s="2">
        <v>124.9</v>
      </c>
      <c r="K496" t="s">
        <v>61</v>
      </c>
    </row>
    <row r="497" spans="1:11">
      <c r="A497" t="s">
        <v>899</v>
      </c>
      <c r="B497" s="1">
        <v>45924</v>
      </c>
      <c r="C497" t="s">
        <v>825</v>
      </c>
      <c r="D497" t="s">
        <v>30</v>
      </c>
      <c r="E497" t="s">
        <v>29</v>
      </c>
      <c r="F497" t="s">
        <v>68</v>
      </c>
      <c r="G497">
        <v>1</v>
      </c>
      <c r="H497" s="2">
        <v>44.69</v>
      </c>
      <c r="I497" s="3">
        <v>0</v>
      </c>
      <c r="J497" s="2">
        <v>44.69</v>
      </c>
      <c r="K497" t="s">
        <v>61</v>
      </c>
    </row>
    <row r="498" spans="1:11">
      <c r="A498" t="s">
        <v>900</v>
      </c>
      <c r="B498" s="1">
        <v>45754</v>
      </c>
      <c r="C498" t="s">
        <v>901</v>
      </c>
      <c r="D498" t="s">
        <v>22</v>
      </c>
      <c r="E498" t="s">
        <v>17</v>
      </c>
      <c r="F498" t="s">
        <v>27</v>
      </c>
      <c r="G498">
        <v>3</v>
      </c>
      <c r="H498" s="2">
        <v>68.03</v>
      </c>
      <c r="I498" s="3">
        <v>0.1</v>
      </c>
      <c r="J498" s="2">
        <v>183.68</v>
      </c>
      <c r="K498" t="s">
        <v>79</v>
      </c>
    </row>
    <row r="499" spans="1:11">
      <c r="A499" t="s">
        <v>902</v>
      </c>
      <c r="B499" s="1">
        <v>45725</v>
      </c>
      <c r="C499" t="s">
        <v>866</v>
      </c>
      <c r="D499" t="s">
        <v>26</v>
      </c>
      <c r="E499" t="s">
        <v>33</v>
      </c>
      <c r="F499" t="s">
        <v>31</v>
      </c>
      <c r="G499">
        <v>2</v>
      </c>
      <c r="H499" s="2">
        <v>77.3</v>
      </c>
      <c r="I499" s="3">
        <v>0</v>
      </c>
      <c r="J499" s="2">
        <v>154.6</v>
      </c>
      <c r="K499" t="s">
        <v>56</v>
      </c>
    </row>
    <row r="500" spans="1:11">
      <c r="A500" t="s">
        <v>903</v>
      </c>
      <c r="B500" s="1">
        <v>45991</v>
      </c>
      <c r="C500" t="s">
        <v>820</v>
      </c>
      <c r="D500" t="s">
        <v>18</v>
      </c>
      <c r="E500" t="s">
        <v>17</v>
      </c>
      <c r="F500" t="s">
        <v>19</v>
      </c>
      <c r="G500">
        <v>1</v>
      </c>
      <c r="H500" s="2">
        <v>83.84</v>
      </c>
      <c r="I500" s="3">
        <v>0.15</v>
      </c>
      <c r="J500" s="2">
        <v>71.260000000000005</v>
      </c>
      <c r="K500" t="s">
        <v>56</v>
      </c>
    </row>
    <row r="501" spans="1:11">
      <c r="A501" t="s">
        <v>904</v>
      </c>
      <c r="B501" s="1">
        <v>45713</v>
      </c>
      <c r="C501" t="s">
        <v>905</v>
      </c>
      <c r="D501" t="s">
        <v>30</v>
      </c>
      <c r="E501" t="s">
        <v>29</v>
      </c>
      <c r="F501" t="s">
        <v>92</v>
      </c>
      <c r="G501">
        <v>3</v>
      </c>
      <c r="H501" s="2">
        <v>47.63</v>
      </c>
      <c r="I501" s="3">
        <v>0</v>
      </c>
      <c r="J501" s="2">
        <v>142.88999999999999</v>
      </c>
      <c r="K501" t="s">
        <v>61</v>
      </c>
    </row>
    <row r="502" spans="1:11">
      <c r="A502" t="s">
        <v>906</v>
      </c>
      <c r="B502" s="1">
        <v>45721</v>
      </c>
      <c r="C502" t="s">
        <v>907</v>
      </c>
      <c r="D502" t="s">
        <v>26</v>
      </c>
      <c r="E502" t="s">
        <v>21</v>
      </c>
      <c r="F502" t="s">
        <v>71</v>
      </c>
      <c r="G502">
        <v>1</v>
      </c>
      <c r="H502" s="2">
        <v>74.63</v>
      </c>
      <c r="I502" s="3">
        <v>0</v>
      </c>
      <c r="J502" s="2">
        <v>74.63</v>
      </c>
      <c r="K502" t="s">
        <v>61</v>
      </c>
    </row>
    <row r="503" spans="1:11">
      <c r="A503" t="s">
        <v>908</v>
      </c>
      <c r="B503" s="1">
        <v>45996</v>
      </c>
      <c r="C503" t="s">
        <v>324</v>
      </c>
      <c r="D503" t="s">
        <v>30</v>
      </c>
      <c r="E503" t="s">
        <v>17</v>
      </c>
      <c r="F503" t="s">
        <v>23</v>
      </c>
      <c r="G503">
        <v>2</v>
      </c>
      <c r="H503" s="2">
        <v>121.14</v>
      </c>
      <c r="I503" s="3">
        <v>0.15</v>
      </c>
      <c r="J503" s="2">
        <v>205.94</v>
      </c>
      <c r="K503" t="s">
        <v>79</v>
      </c>
    </row>
    <row r="504" spans="1:11">
      <c r="A504" t="s">
        <v>909</v>
      </c>
      <c r="B504" s="1">
        <v>45919</v>
      </c>
      <c r="C504" t="s">
        <v>312</v>
      </c>
      <c r="D504" t="s">
        <v>22</v>
      </c>
      <c r="E504" t="s">
        <v>25</v>
      </c>
      <c r="F504" t="s">
        <v>78</v>
      </c>
      <c r="G504">
        <v>2</v>
      </c>
      <c r="H504" s="2">
        <v>36.79</v>
      </c>
      <c r="I504" s="3">
        <v>0</v>
      </c>
      <c r="J504" s="2">
        <v>73.58</v>
      </c>
      <c r="K504" t="s">
        <v>56</v>
      </c>
    </row>
    <row r="505" spans="1:11">
      <c r="A505" t="s">
        <v>910</v>
      </c>
      <c r="B505" s="1">
        <v>45760</v>
      </c>
      <c r="C505" t="s">
        <v>301</v>
      </c>
      <c r="D505" t="s">
        <v>26</v>
      </c>
      <c r="E505" t="s">
        <v>33</v>
      </c>
      <c r="F505" t="s">
        <v>34</v>
      </c>
      <c r="G505">
        <v>3</v>
      </c>
      <c r="H505" s="2">
        <v>33.96</v>
      </c>
      <c r="I505" s="3">
        <v>0.05</v>
      </c>
      <c r="J505" s="2">
        <v>96.79</v>
      </c>
      <c r="K505" t="s">
        <v>79</v>
      </c>
    </row>
    <row r="506" spans="1:11">
      <c r="A506" t="s">
        <v>911</v>
      </c>
      <c r="B506" s="1">
        <v>45678</v>
      </c>
      <c r="C506" t="s">
        <v>112</v>
      </c>
      <c r="D506" t="s">
        <v>22</v>
      </c>
      <c r="E506" t="s">
        <v>21</v>
      </c>
      <c r="F506" t="s">
        <v>71</v>
      </c>
      <c r="G506">
        <v>1</v>
      </c>
      <c r="H506" s="2">
        <v>63.38</v>
      </c>
      <c r="I506" s="3">
        <v>0.1</v>
      </c>
      <c r="J506" s="2">
        <v>57.04</v>
      </c>
      <c r="K506" t="s">
        <v>79</v>
      </c>
    </row>
    <row r="507" spans="1:11">
      <c r="A507" t="s">
        <v>912</v>
      </c>
      <c r="B507" s="1">
        <v>45664</v>
      </c>
      <c r="C507" t="s">
        <v>492</v>
      </c>
      <c r="D507" t="s">
        <v>22</v>
      </c>
      <c r="E507" t="s">
        <v>29</v>
      </c>
      <c r="F507" t="s">
        <v>92</v>
      </c>
      <c r="G507">
        <v>1</v>
      </c>
      <c r="H507" s="2">
        <v>48.75</v>
      </c>
      <c r="I507" s="3">
        <v>0.15</v>
      </c>
      <c r="J507" s="2">
        <v>41.44</v>
      </c>
      <c r="K507" t="s">
        <v>79</v>
      </c>
    </row>
    <row r="508" spans="1:11">
      <c r="A508" t="s">
        <v>913</v>
      </c>
      <c r="B508" s="1">
        <v>45919</v>
      </c>
      <c r="C508" t="s">
        <v>914</v>
      </c>
      <c r="D508" t="s">
        <v>30</v>
      </c>
      <c r="E508" t="s">
        <v>17</v>
      </c>
      <c r="F508" t="s">
        <v>23</v>
      </c>
      <c r="G508">
        <v>2</v>
      </c>
      <c r="H508" s="2">
        <v>113.96</v>
      </c>
      <c r="I508" s="3">
        <v>0.05</v>
      </c>
      <c r="J508" s="2">
        <v>216.52</v>
      </c>
      <c r="K508" t="s">
        <v>61</v>
      </c>
    </row>
    <row r="509" spans="1:11">
      <c r="A509" t="s">
        <v>915</v>
      </c>
      <c r="B509" s="1">
        <v>45793</v>
      </c>
      <c r="C509" t="s">
        <v>916</v>
      </c>
      <c r="D509" t="s">
        <v>26</v>
      </c>
      <c r="E509" t="s">
        <v>21</v>
      </c>
      <c r="F509" t="s">
        <v>40</v>
      </c>
      <c r="G509">
        <v>1</v>
      </c>
      <c r="H509" s="2">
        <v>54.8</v>
      </c>
      <c r="I509" s="3">
        <v>0</v>
      </c>
      <c r="J509" s="2">
        <v>54.8</v>
      </c>
      <c r="K509" t="s">
        <v>56</v>
      </c>
    </row>
    <row r="510" spans="1:11">
      <c r="A510" t="s">
        <v>917</v>
      </c>
      <c r="B510" s="1">
        <v>45818</v>
      </c>
      <c r="C510" t="s">
        <v>907</v>
      </c>
      <c r="D510" t="s">
        <v>22</v>
      </c>
      <c r="E510" t="s">
        <v>25</v>
      </c>
      <c r="F510" t="s">
        <v>38</v>
      </c>
      <c r="G510">
        <v>2</v>
      </c>
      <c r="H510" s="2">
        <v>104.88</v>
      </c>
      <c r="I510" s="3">
        <v>0</v>
      </c>
      <c r="J510" s="2">
        <v>209.76</v>
      </c>
      <c r="K510" t="s">
        <v>56</v>
      </c>
    </row>
    <row r="511" spans="1:11">
      <c r="A511" t="s">
        <v>918</v>
      </c>
      <c r="B511" s="1">
        <v>45989</v>
      </c>
      <c r="C511" t="s">
        <v>604</v>
      </c>
      <c r="D511" t="s">
        <v>18</v>
      </c>
      <c r="E511" t="s">
        <v>17</v>
      </c>
      <c r="F511" t="s">
        <v>27</v>
      </c>
      <c r="G511">
        <v>1</v>
      </c>
      <c r="H511" s="2">
        <v>67.569999999999993</v>
      </c>
      <c r="I511" s="3">
        <v>0.15</v>
      </c>
      <c r="J511" s="2">
        <v>57.43</v>
      </c>
      <c r="K511" t="s">
        <v>61</v>
      </c>
    </row>
    <row r="512" spans="1:11">
      <c r="A512" t="s">
        <v>919</v>
      </c>
      <c r="B512" s="1">
        <v>45833</v>
      </c>
      <c r="C512" t="s">
        <v>383</v>
      </c>
      <c r="D512" t="s">
        <v>30</v>
      </c>
      <c r="E512" t="s">
        <v>17</v>
      </c>
      <c r="F512" t="s">
        <v>27</v>
      </c>
      <c r="G512">
        <v>1</v>
      </c>
      <c r="H512" s="2">
        <v>57.94</v>
      </c>
      <c r="I512" s="3">
        <v>0.1</v>
      </c>
      <c r="J512" s="2">
        <v>52.15</v>
      </c>
      <c r="K512" t="s">
        <v>56</v>
      </c>
    </row>
    <row r="513" spans="1:11">
      <c r="A513" t="s">
        <v>920</v>
      </c>
      <c r="B513" s="1">
        <v>45902</v>
      </c>
      <c r="C513" t="s">
        <v>921</v>
      </c>
      <c r="D513" t="s">
        <v>18</v>
      </c>
      <c r="E513" t="s">
        <v>25</v>
      </c>
      <c r="F513" t="s">
        <v>38</v>
      </c>
      <c r="G513">
        <v>2</v>
      </c>
      <c r="H513" s="2">
        <v>132.44</v>
      </c>
      <c r="I513" s="3">
        <v>0</v>
      </c>
      <c r="J513" s="2">
        <v>264.88</v>
      </c>
      <c r="K513" t="s">
        <v>79</v>
      </c>
    </row>
    <row r="514" spans="1:11">
      <c r="A514" t="s">
        <v>922</v>
      </c>
      <c r="B514" s="1">
        <v>45711</v>
      </c>
      <c r="C514" t="s">
        <v>108</v>
      </c>
      <c r="D514" t="s">
        <v>22</v>
      </c>
      <c r="E514" t="s">
        <v>25</v>
      </c>
      <c r="F514" t="s">
        <v>38</v>
      </c>
      <c r="G514">
        <v>3</v>
      </c>
      <c r="H514" s="2">
        <v>120.1</v>
      </c>
      <c r="I514" s="3">
        <v>0.15</v>
      </c>
      <c r="J514" s="2">
        <v>306.25</v>
      </c>
      <c r="K514" t="s">
        <v>56</v>
      </c>
    </row>
    <row r="515" spans="1:11">
      <c r="A515" t="s">
        <v>923</v>
      </c>
      <c r="B515" s="1">
        <v>45852</v>
      </c>
      <c r="C515" t="s">
        <v>318</v>
      </c>
      <c r="D515" t="s">
        <v>30</v>
      </c>
      <c r="E515" t="s">
        <v>25</v>
      </c>
      <c r="F515" t="s">
        <v>36</v>
      </c>
      <c r="G515">
        <v>2</v>
      </c>
      <c r="H515" s="2">
        <v>100.98</v>
      </c>
      <c r="I515" s="3">
        <v>0</v>
      </c>
      <c r="J515" s="2">
        <v>201.96</v>
      </c>
      <c r="K515" t="s">
        <v>79</v>
      </c>
    </row>
    <row r="516" spans="1:11">
      <c r="A516" t="s">
        <v>924</v>
      </c>
      <c r="B516" s="1">
        <v>45868</v>
      </c>
      <c r="C516" t="s">
        <v>224</v>
      </c>
      <c r="D516" t="s">
        <v>22</v>
      </c>
      <c r="E516" t="s">
        <v>21</v>
      </c>
      <c r="F516" t="s">
        <v>40</v>
      </c>
      <c r="G516">
        <v>1</v>
      </c>
      <c r="H516" s="2">
        <v>45.88</v>
      </c>
      <c r="I516" s="3">
        <v>0.05</v>
      </c>
      <c r="J516" s="2">
        <v>43.59</v>
      </c>
      <c r="K516" t="s">
        <v>56</v>
      </c>
    </row>
    <row r="517" spans="1:11">
      <c r="A517" t="s">
        <v>925</v>
      </c>
      <c r="B517" s="1">
        <v>45831</v>
      </c>
      <c r="C517" t="s">
        <v>499</v>
      </c>
      <c r="D517" t="s">
        <v>22</v>
      </c>
      <c r="E517" t="s">
        <v>21</v>
      </c>
      <c r="F517" t="s">
        <v>71</v>
      </c>
      <c r="G517">
        <v>1</v>
      </c>
      <c r="H517" s="2">
        <v>74.599999999999994</v>
      </c>
      <c r="I517" s="3">
        <v>0</v>
      </c>
      <c r="J517" s="2">
        <v>74.599999999999994</v>
      </c>
      <c r="K517" t="s">
        <v>61</v>
      </c>
    </row>
    <row r="518" spans="1:11">
      <c r="A518" t="s">
        <v>926</v>
      </c>
      <c r="B518" s="1">
        <v>45835</v>
      </c>
      <c r="C518" t="s">
        <v>927</v>
      </c>
      <c r="D518" t="s">
        <v>18</v>
      </c>
      <c r="E518" t="s">
        <v>29</v>
      </c>
      <c r="F518" t="s">
        <v>92</v>
      </c>
      <c r="G518">
        <v>2</v>
      </c>
      <c r="H518" s="2">
        <v>53.74</v>
      </c>
      <c r="I518" s="3">
        <v>0.15</v>
      </c>
      <c r="J518" s="2">
        <v>91.36</v>
      </c>
      <c r="K518" t="s">
        <v>56</v>
      </c>
    </row>
    <row r="519" spans="1:11">
      <c r="A519" t="s">
        <v>928</v>
      </c>
      <c r="B519" s="1">
        <v>45738</v>
      </c>
      <c r="C519" t="s">
        <v>929</v>
      </c>
      <c r="D519" t="s">
        <v>30</v>
      </c>
      <c r="E519" t="s">
        <v>21</v>
      </c>
      <c r="F519" t="s">
        <v>71</v>
      </c>
      <c r="G519">
        <v>3</v>
      </c>
      <c r="H519" s="2">
        <v>78.05</v>
      </c>
      <c r="I519" s="3">
        <v>0</v>
      </c>
      <c r="J519" s="2">
        <v>234.15</v>
      </c>
      <c r="K519" t="s">
        <v>61</v>
      </c>
    </row>
    <row r="520" spans="1:11">
      <c r="A520" t="s">
        <v>930</v>
      </c>
      <c r="B520" s="1">
        <v>45781</v>
      </c>
      <c r="C520" t="s">
        <v>122</v>
      </c>
      <c r="D520" t="s">
        <v>30</v>
      </c>
      <c r="E520" t="s">
        <v>25</v>
      </c>
      <c r="F520" t="s">
        <v>36</v>
      </c>
      <c r="G520">
        <v>4</v>
      </c>
      <c r="H520" s="2">
        <v>77.13</v>
      </c>
      <c r="I520" s="3">
        <v>0</v>
      </c>
      <c r="J520" s="2">
        <v>308.52</v>
      </c>
      <c r="K520" t="s">
        <v>61</v>
      </c>
    </row>
    <row r="521" spans="1:11">
      <c r="A521" t="s">
        <v>931</v>
      </c>
      <c r="B521" s="1">
        <v>45778</v>
      </c>
      <c r="C521" t="s">
        <v>932</v>
      </c>
      <c r="D521" t="s">
        <v>30</v>
      </c>
      <c r="E521" t="s">
        <v>17</v>
      </c>
      <c r="F521" t="s">
        <v>23</v>
      </c>
      <c r="G521">
        <v>1</v>
      </c>
      <c r="H521" s="2">
        <v>143.76</v>
      </c>
      <c r="I521" s="3">
        <v>0.1</v>
      </c>
      <c r="J521" s="2">
        <v>129.38</v>
      </c>
      <c r="K521" t="s">
        <v>61</v>
      </c>
    </row>
    <row r="522" spans="1:11">
      <c r="A522" t="s">
        <v>933</v>
      </c>
      <c r="B522" s="1">
        <v>45819</v>
      </c>
      <c r="C522" t="s">
        <v>249</v>
      </c>
      <c r="D522" t="s">
        <v>30</v>
      </c>
      <c r="E522" t="s">
        <v>17</v>
      </c>
      <c r="F522" t="s">
        <v>23</v>
      </c>
      <c r="G522">
        <v>4</v>
      </c>
      <c r="H522" s="2">
        <v>141.37</v>
      </c>
      <c r="I522" s="3">
        <v>0</v>
      </c>
      <c r="J522" s="2">
        <v>565.48</v>
      </c>
      <c r="K522" t="s">
        <v>61</v>
      </c>
    </row>
    <row r="523" spans="1:11">
      <c r="A523" t="s">
        <v>934</v>
      </c>
      <c r="B523" s="1">
        <v>45676</v>
      </c>
      <c r="C523" t="s">
        <v>935</v>
      </c>
      <c r="D523" t="s">
        <v>22</v>
      </c>
      <c r="E523" t="s">
        <v>21</v>
      </c>
      <c r="F523" t="s">
        <v>71</v>
      </c>
      <c r="G523">
        <v>1</v>
      </c>
      <c r="H523" s="2">
        <v>77.459999999999994</v>
      </c>
      <c r="I523" s="3">
        <v>0.15</v>
      </c>
      <c r="J523" s="2">
        <v>65.84</v>
      </c>
      <c r="K523" t="s">
        <v>56</v>
      </c>
    </row>
    <row r="524" spans="1:11">
      <c r="A524" t="s">
        <v>936</v>
      </c>
      <c r="B524" s="1">
        <v>46001</v>
      </c>
      <c r="C524" t="s">
        <v>761</v>
      </c>
      <c r="D524" t="s">
        <v>30</v>
      </c>
      <c r="E524" t="s">
        <v>21</v>
      </c>
      <c r="F524" t="s">
        <v>40</v>
      </c>
      <c r="G524">
        <v>4</v>
      </c>
      <c r="H524" s="2">
        <v>47.53</v>
      </c>
      <c r="I524" s="3">
        <v>0</v>
      </c>
      <c r="J524" s="2">
        <v>190.12</v>
      </c>
      <c r="K524" t="s">
        <v>61</v>
      </c>
    </row>
    <row r="525" spans="1:11">
      <c r="A525" t="s">
        <v>937</v>
      </c>
      <c r="B525" s="1">
        <v>45944</v>
      </c>
      <c r="C525" t="s">
        <v>772</v>
      </c>
      <c r="D525" t="s">
        <v>18</v>
      </c>
      <c r="E525" t="s">
        <v>29</v>
      </c>
      <c r="F525" t="s">
        <v>68</v>
      </c>
      <c r="G525">
        <v>2</v>
      </c>
      <c r="H525" s="2">
        <v>48.89</v>
      </c>
      <c r="I525" s="3">
        <v>0.05</v>
      </c>
      <c r="J525" s="2">
        <v>92.89</v>
      </c>
      <c r="K525" t="s">
        <v>79</v>
      </c>
    </row>
    <row r="526" spans="1:11">
      <c r="A526" t="s">
        <v>938</v>
      </c>
      <c r="B526" s="1">
        <v>45995</v>
      </c>
      <c r="C526" t="s">
        <v>722</v>
      </c>
      <c r="D526" t="s">
        <v>26</v>
      </c>
      <c r="E526" t="s">
        <v>33</v>
      </c>
      <c r="F526" t="s">
        <v>31</v>
      </c>
      <c r="G526">
        <v>1</v>
      </c>
      <c r="H526" s="2">
        <v>71.569999999999993</v>
      </c>
      <c r="I526" s="3">
        <v>0.05</v>
      </c>
      <c r="J526" s="2">
        <v>67.989999999999995</v>
      </c>
      <c r="K526" t="s">
        <v>56</v>
      </c>
    </row>
    <row r="527" spans="1:11">
      <c r="A527" t="s">
        <v>939</v>
      </c>
      <c r="B527" s="1">
        <v>45712</v>
      </c>
      <c r="C527" t="s">
        <v>627</v>
      </c>
      <c r="D527" t="s">
        <v>26</v>
      </c>
      <c r="E527" t="s">
        <v>17</v>
      </c>
      <c r="F527" t="s">
        <v>19</v>
      </c>
      <c r="G527">
        <v>3</v>
      </c>
      <c r="H527" s="2">
        <v>79.989999999999995</v>
      </c>
      <c r="I527" s="3">
        <v>0.1</v>
      </c>
      <c r="J527" s="2">
        <v>215.97</v>
      </c>
      <c r="K527" t="s">
        <v>56</v>
      </c>
    </row>
    <row r="528" spans="1:11">
      <c r="A528" t="s">
        <v>940</v>
      </c>
      <c r="B528" s="1">
        <v>45758</v>
      </c>
      <c r="C528" t="s">
        <v>451</v>
      </c>
      <c r="D528" t="s">
        <v>22</v>
      </c>
      <c r="E528" t="s">
        <v>33</v>
      </c>
      <c r="F528" t="s">
        <v>31</v>
      </c>
      <c r="G528">
        <v>1</v>
      </c>
      <c r="H528" s="2">
        <v>83.71</v>
      </c>
      <c r="I528" s="3">
        <v>0</v>
      </c>
      <c r="J528" s="2">
        <v>83.71</v>
      </c>
      <c r="K528" t="s">
        <v>56</v>
      </c>
    </row>
    <row r="529" spans="1:11">
      <c r="A529" t="s">
        <v>941</v>
      </c>
      <c r="B529" s="1">
        <v>45831</v>
      </c>
      <c r="C529" t="s">
        <v>866</v>
      </c>
      <c r="D529" t="s">
        <v>30</v>
      </c>
      <c r="E529" t="s">
        <v>17</v>
      </c>
      <c r="F529" t="s">
        <v>23</v>
      </c>
      <c r="G529">
        <v>2</v>
      </c>
      <c r="H529" s="2">
        <v>111.63</v>
      </c>
      <c r="I529" s="3">
        <v>0.15</v>
      </c>
      <c r="J529" s="2">
        <v>189.77</v>
      </c>
      <c r="K529" t="s">
        <v>61</v>
      </c>
    </row>
    <row r="530" spans="1:11">
      <c r="A530" t="s">
        <v>942</v>
      </c>
      <c r="B530" s="1">
        <v>45995</v>
      </c>
      <c r="C530" t="s">
        <v>943</v>
      </c>
      <c r="D530" t="s">
        <v>18</v>
      </c>
      <c r="E530" t="s">
        <v>29</v>
      </c>
      <c r="F530" t="s">
        <v>68</v>
      </c>
      <c r="G530">
        <v>4</v>
      </c>
      <c r="H530" s="2">
        <v>40.25</v>
      </c>
      <c r="I530" s="3">
        <v>0.1</v>
      </c>
      <c r="J530" s="2">
        <v>144.9</v>
      </c>
      <c r="K530" t="s">
        <v>56</v>
      </c>
    </row>
    <row r="531" spans="1:11">
      <c r="A531" t="s">
        <v>944</v>
      </c>
      <c r="B531" s="1">
        <v>45879</v>
      </c>
      <c r="C531" t="s">
        <v>581</v>
      </c>
      <c r="D531" t="s">
        <v>22</v>
      </c>
      <c r="E531" t="s">
        <v>29</v>
      </c>
      <c r="F531" t="s">
        <v>68</v>
      </c>
      <c r="G531">
        <v>1</v>
      </c>
      <c r="H531" s="2">
        <v>45.8</v>
      </c>
      <c r="I531" s="3">
        <v>0</v>
      </c>
      <c r="J531" s="2">
        <v>45.8</v>
      </c>
      <c r="K531" t="s">
        <v>56</v>
      </c>
    </row>
    <row r="532" spans="1:11">
      <c r="A532" t="s">
        <v>945</v>
      </c>
      <c r="B532" s="1">
        <v>45723</v>
      </c>
      <c r="C532" t="s">
        <v>192</v>
      </c>
      <c r="D532" t="s">
        <v>30</v>
      </c>
      <c r="E532" t="s">
        <v>17</v>
      </c>
      <c r="F532" t="s">
        <v>23</v>
      </c>
      <c r="G532">
        <v>1</v>
      </c>
      <c r="H532" s="2">
        <v>135.22</v>
      </c>
      <c r="I532" s="3">
        <v>0.05</v>
      </c>
      <c r="J532" s="2">
        <v>128.46</v>
      </c>
      <c r="K532" t="s">
        <v>61</v>
      </c>
    </row>
    <row r="533" spans="1:11">
      <c r="A533" t="s">
        <v>946</v>
      </c>
      <c r="B533" s="1">
        <v>45969</v>
      </c>
      <c r="C533" t="s">
        <v>947</v>
      </c>
      <c r="D533" t="s">
        <v>30</v>
      </c>
      <c r="E533" t="s">
        <v>25</v>
      </c>
      <c r="F533" t="s">
        <v>78</v>
      </c>
      <c r="G533">
        <v>2</v>
      </c>
      <c r="H533" s="2">
        <v>36.67</v>
      </c>
      <c r="I533" s="3">
        <v>0.05</v>
      </c>
      <c r="J533" s="2">
        <v>69.67</v>
      </c>
      <c r="K533" t="s">
        <v>79</v>
      </c>
    </row>
    <row r="534" spans="1:11">
      <c r="A534" t="s">
        <v>948</v>
      </c>
      <c r="B534" s="1">
        <v>45728</v>
      </c>
      <c r="C534" t="s">
        <v>316</v>
      </c>
      <c r="D534" t="s">
        <v>26</v>
      </c>
      <c r="E534" t="s">
        <v>25</v>
      </c>
      <c r="F534" t="s">
        <v>38</v>
      </c>
      <c r="G534">
        <v>2</v>
      </c>
      <c r="H534" s="2">
        <v>135.96</v>
      </c>
      <c r="I534" s="3">
        <v>0.15</v>
      </c>
      <c r="J534" s="2">
        <v>231.13</v>
      </c>
      <c r="K534" t="s">
        <v>56</v>
      </c>
    </row>
    <row r="535" spans="1:11">
      <c r="A535" t="s">
        <v>949</v>
      </c>
      <c r="B535" s="1">
        <v>45941</v>
      </c>
      <c r="C535" t="s">
        <v>950</v>
      </c>
      <c r="D535" t="s">
        <v>22</v>
      </c>
      <c r="E535" t="s">
        <v>29</v>
      </c>
      <c r="F535" t="s">
        <v>92</v>
      </c>
      <c r="G535">
        <v>1</v>
      </c>
      <c r="H535" s="2">
        <v>50.56</v>
      </c>
      <c r="I535" s="3">
        <v>0.05</v>
      </c>
      <c r="J535" s="2">
        <v>48.03</v>
      </c>
      <c r="K535" t="s">
        <v>56</v>
      </c>
    </row>
    <row r="536" spans="1:11">
      <c r="A536" t="s">
        <v>951</v>
      </c>
      <c r="B536" s="1">
        <v>45990</v>
      </c>
      <c r="C536" t="s">
        <v>679</v>
      </c>
      <c r="D536" t="s">
        <v>26</v>
      </c>
      <c r="E536" t="s">
        <v>17</v>
      </c>
      <c r="F536" t="s">
        <v>27</v>
      </c>
      <c r="G536">
        <v>1</v>
      </c>
      <c r="H536" s="2">
        <v>63.67</v>
      </c>
      <c r="I536" s="3">
        <v>0.05</v>
      </c>
      <c r="J536" s="2">
        <v>60.49</v>
      </c>
      <c r="K536" t="s">
        <v>56</v>
      </c>
    </row>
    <row r="537" spans="1:11">
      <c r="A537" t="s">
        <v>952</v>
      </c>
      <c r="B537" s="1">
        <v>45903</v>
      </c>
      <c r="C537" t="s">
        <v>953</v>
      </c>
      <c r="D537" t="s">
        <v>26</v>
      </c>
      <c r="E537" t="s">
        <v>29</v>
      </c>
      <c r="F537" t="s">
        <v>68</v>
      </c>
      <c r="G537">
        <v>2</v>
      </c>
      <c r="H537" s="2">
        <v>48.16</v>
      </c>
      <c r="I537" s="3">
        <v>0.1</v>
      </c>
      <c r="J537" s="2">
        <v>86.69</v>
      </c>
      <c r="K537" t="s">
        <v>61</v>
      </c>
    </row>
    <row r="538" spans="1:11">
      <c r="A538" t="s">
        <v>954</v>
      </c>
      <c r="B538" s="1">
        <v>45664</v>
      </c>
      <c r="C538" t="s">
        <v>410</v>
      </c>
      <c r="D538" t="s">
        <v>22</v>
      </c>
      <c r="E538" t="s">
        <v>21</v>
      </c>
      <c r="F538" t="s">
        <v>71</v>
      </c>
      <c r="G538">
        <v>1</v>
      </c>
      <c r="H538" s="2">
        <v>67.319999999999993</v>
      </c>
      <c r="I538" s="3">
        <v>0</v>
      </c>
      <c r="J538" s="2">
        <v>67.319999999999993</v>
      </c>
      <c r="K538" t="s">
        <v>61</v>
      </c>
    </row>
    <row r="539" spans="1:11">
      <c r="A539" t="s">
        <v>955</v>
      </c>
      <c r="B539" s="1">
        <v>45740</v>
      </c>
      <c r="C539" t="s">
        <v>174</v>
      </c>
      <c r="D539" t="s">
        <v>22</v>
      </c>
      <c r="E539" t="s">
        <v>33</v>
      </c>
      <c r="F539" t="s">
        <v>34</v>
      </c>
      <c r="G539">
        <v>2</v>
      </c>
      <c r="H539" s="2">
        <v>26.05</v>
      </c>
      <c r="I539" s="3">
        <v>0</v>
      </c>
      <c r="J539" s="2">
        <v>52.1</v>
      </c>
      <c r="K539" t="s">
        <v>56</v>
      </c>
    </row>
    <row r="540" spans="1:11">
      <c r="A540" t="s">
        <v>956</v>
      </c>
      <c r="B540" s="1">
        <v>45674</v>
      </c>
      <c r="C540" t="s">
        <v>213</v>
      </c>
      <c r="D540" t="s">
        <v>30</v>
      </c>
      <c r="E540" t="s">
        <v>25</v>
      </c>
      <c r="F540" t="s">
        <v>36</v>
      </c>
      <c r="G540">
        <v>2</v>
      </c>
      <c r="H540" s="2">
        <v>78.66</v>
      </c>
      <c r="I540" s="3">
        <v>0.15</v>
      </c>
      <c r="J540" s="2">
        <v>133.72</v>
      </c>
      <c r="K540" t="s">
        <v>79</v>
      </c>
    </row>
    <row r="541" spans="1:11">
      <c r="A541" t="s">
        <v>957</v>
      </c>
      <c r="B541" s="1">
        <v>45919</v>
      </c>
      <c r="C541" t="s">
        <v>958</v>
      </c>
      <c r="D541" t="s">
        <v>30</v>
      </c>
      <c r="E541" t="s">
        <v>25</v>
      </c>
      <c r="F541" t="s">
        <v>78</v>
      </c>
      <c r="G541">
        <v>1</v>
      </c>
      <c r="H541" s="2">
        <v>41.7</v>
      </c>
      <c r="I541" s="3">
        <v>0.1</v>
      </c>
      <c r="J541" s="2">
        <v>37.53</v>
      </c>
      <c r="K541" t="s">
        <v>56</v>
      </c>
    </row>
    <row r="542" spans="1:11">
      <c r="A542" t="s">
        <v>959</v>
      </c>
      <c r="B542" s="1">
        <v>45818</v>
      </c>
      <c r="C542" t="s">
        <v>960</v>
      </c>
      <c r="D542" t="s">
        <v>22</v>
      </c>
      <c r="E542" t="s">
        <v>21</v>
      </c>
      <c r="F542" t="s">
        <v>71</v>
      </c>
      <c r="G542">
        <v>1</v>
      </c>
      <c r="H542" s="2">
        <v>75.58</v>
      </c>
      <c r="I542" s="3">
        <v>0</v>
      </c>
      <c r="J542" s="2">
        <v>75.58</v>
      </c>
      <c r="K542" t="s">
        <v>56</v>
      </c>
    </row>
    <row r="543" spans="1:11">
      <c r="A543" t="s">
        <v>961</v>
      </c>
      <c r="B543" s="1">
        <v>46018</v>
      </c>
      <c r="C543" t="s">
        <v>962</v>
      </c>
      <c r="D543" t="s">
        <v>22</v>
      </c>
      <c r="E543" t="s">
        <v>25</v>
      </c>
      <c r="F543" t="s">
        <v>78</v>
      </c>
      <c r="G543">
        <v>2</v>
      </c>
      <c r="H543" s="2">
        <v>42.87</v>
      </c>
      <c r="I543" s="3">
        <v>0.15</v>
      </c>
      <c r="J543" s="2">
        <v>72.88</v>
      </c>
      <c r="K543" t="s">
        <v>61</v>
      </c>
    </row>
    <row r="544" spans="1:11">
      <c r="A544" t="s">
        <v>963</v>
      </c>
      <c r="B544" s="1">
        <v>45887</v>
      </c>
      <c r="C544" t="s">
        <v>278</v>
      </c>
      <c r="D544" t="s">
        <v>18</v>
      </c>
      <c r="E544" t="s">
        <v>17</v>
      </c>
      <c r="F544" t="s">
        <v>27</v>
      </c>
      <c r="G544">
        <v>4</v>
      </c>
      <c r="H544" s="2">
        <v>51.6</v>
      </c>
      <c r="I544" s="3">
        <v>0</v>
      </c>
      <c r="J544" s="2">
        <v>206.4</v>
      </c>
      <c r="K544" t="s">
        <v>61</v>
      </c>
    </row>
    <row r="545" spans="1:11">
      <c r="A545" t="s">
        <v>964</v>
      </c>
      <c r="B545" s="1">
        <v>45678</v>
      </c>
      <c r="C545" t="s">
        <v>797</v>
      </c>
      <c r="D545" t="s">
        <v>26</v>
      </c>
      <c r="E545" t="s">
        <v>25</v>
      </c>
      <c r="F545" t="s">
        <v>38</v>
      </c>
      <c r="G545">
        <v>1</v>
      </c>
      <c r="H545" s="2">
        <v>111.53</v>
      </c>
      <c r="I545" s="3">
        <v>0</v>
      </c>
      <c r="J545" s="2">
        <v>111.53</v>
      </c>
      <c r="K545" t="s">
        <v>79</v>
      </c>
    </row>
    <row r="546" spans="1:11">
      <c r="A546" t="s">
        <v>965</v>
      </c>
      <c r="B546" s="1">
        <v>45827</v>
      </c>
      <c r="C546" t="s">
        <v>966</v>
      </c>
      <c r="D546" t="s">
        <v>18</v>
      </c>
      <c r="E546" t="s">
        <v>21</v>
      </c>
      <c r="F546" t="s">
        <v>40</v>
      </c>
      <c r="G546">
        <v>2</v>
      </c>
      <c r="H546" s="2">
        <v>44.15</v>
      </c>
      <c r="I546" s="3">
        <v>0</v>
      </c>
      <c r="J546" s="2">
        <v>88.3</v>
      </c>
      <c r="K546" t="s">
        <v>56</v>
      </c>
    </row>
    <row r="547" spans="1:11">
      <c r="A547" t="s">
        <v>967</v>
      </c>
      <c r="B547" s="1">
        <v>45973</v>
      </c>
      <c r="C547" t="s">
        <v>968</v>
      </c>
      <c r="D547" t="s">
        <v>18</v>
      </c>
      <c r="E547" t="s">
        <v>29</v>
      </c>
      <c r="F547" t="s">
        <v>92</v>
      </c>
      <c r="G547">
        <v>1</v>
      </c>
      <c r="H547" s="2">
        <v>61.09</v>
      </c>
      <c r="I547" s="3">
        <v>0.15</v>
      </c>
      <c r="J547" s="2">
        <v>51.93</v>
      </c>
      <c r="K547" t="s">
        <v>56</v>
      </c>
    </row>
    <row r="548" spans="1:11">
      <c r="A548" t="s">
        <v>969</v>
      </c>
      <c r="B548" s="1">
        <v>45820</v>
      </c>
      <c r="C548" t="s">
        <v>700</v>
      </c>
      <c r="D548" t="s">
        <v>22</v>
      </c>
      <c r="E548" t="s">
        <v>21</v>
      </c>
      <c r="F548" t="s">
        <v>71</v>
      </c>
      <c r="G548">
        <v>1</v>
      </c>
      <c r="H548" s="2">
        <v>62.84</v>
      </c>
      <c r="I548" s="3">
        <v>0</v>
      </c>
      <c r="J548" s="2">
        <v>62.84</v>
      </c>
      <c r="K548" t="s">
        <v>61</v>
      </c>
    </row>
    <row r="549" spans="1:11">
      <c r="A549" t="s">
        <v>970</v>
      </c>
      <c r="B549" s="1">
        <v>45936</v>
      </c>
      <c r="C549" t="s">
        <v>467</v>
      </c>
      <c r="D549" t="s">
        <v>26</v>
      </c>
      <c r="E549" t="s">
        <v>21</v>
      </c>
      <c r="F549" t="s">
        <v>71</v>
      </c>
      <c r="G549">
        <v>1</v>
      </c>
      <c r="H549" s="2">
        <v>66.61</v>
      </c>
      <c r="I549" s="3">
        <v>0</v>
      </c>
      <c r="J549" s="2">
        <v>66.61</v>
      </c>
      <c r="K549" t="s">
        <v>61</v>
      </c>
    </row>
    <row r="550" spans="1:11">
      <c r="A550" t="s">
        <v>971</v>
      </c>
      <c r="B550" s="1">
        <v>45808</v>
      </c>
      <c r="C550" t="s">
        <v>334</v>
      </c>
      <c r="D550" t="s">
        <v>18</v>
      </c>
      <c r="E550" t="s">
        <v>33</v>
      </c>
      <c r="F550" t="s">
        <v>31</v>
      </c>
      <c r="G550">
        <v>4</v>
      </c>
      <c r="H550" s="2">
        <v>78</v>
      </c>
      <c r="I550" s="3">
        <v>0.1</v>
      </c>
      <c r="J550" s="2">
        <v>280.8</v>
      </c>
      <c r="K550" t="s">
        <v>79</v>
      </c>
    </row>
    <row r="551" spans="1:11">
      <c r="A551" t="s">
        <v>972</v>
      </c>
      <c r="B551" s="1">
        <v>46000</v>
      </c>
      <c r="C551" t="s">
        <v>346</v>
      </c>
      <c r="D551" t="s">
        <v>18</v>
      </c>
      <c r="E551" t="s">
        <v>25</v>
      </c>
      <c r="F551" t="s">
        <v>36</v>
      </c>
      <c r="G551">
        <v>1</v>
      </c>
      <c r="H551" s="2">
        <v>102.22</v>
      </c>
      <c r="I551" s="3">
        <v>0.15</v>
      </c>
      <c r="J551" s="2">
        <v>86.89</v>
      </c>
      <c r="K551" t="s">
        <v>56</v>
      </c>
    </row>
    <row r="552" spans="1:11">
      <c r="A552" t="s">
        <v>973</v>
      </c>
      <c r="B552" s="1">
        <v>45822</v>
      </c>
      <c r="C552" t="s">
        <v>216</v>
      </c>
      <c r="D552" t="s">
        <v>26</v>
      </c>
      <c r="E552" t="s">
        <v>25</v>
      </c>
      <c r="F552" t="s">
        <v>38</v>
      </c>
      <c r="G552">
        <v>3</v>
      </c>
      <c r="H552" s="2">
        <v>138.26</v>
      </c>
      <c r="I552" s="3">
        <v>0.1</v>
      </c>
      <c r="J552" s="2">
        <v>373.3</v>
      </c>
      <c r="K552" t="s">
        <v>79</v>
      </c>
    </row>
    <row r="553" spans="1:11">
      <c r="A553" t="s">
        <v>974</v>
      </c>
      <c r="B553" s="1">
        <v>45922</v>
      </c>
      <c r="C553" t="s">
        <v>975</v>
      </c>
      <c r="D553" t="s">
        <v>26</v>
      </c>
      <c r="E553" t="s">
        <v>25</v>
      </c>
      <c r="F553" t="s">
        <v>36</v>
      </c>
      <c r="G553">
        <v>1</v>
      </c>
      <c r="H553" s="2">
        <v>90.59</v>
      </c>
      <c r="I553" s="3">
        <v>0.1</v>
      </c>
      <c r="J553" s="2">
        <v>81.53</v>
      </c>
      <c r="K553" t="s">
        <v>56</v>
      </c>
    </row>
    <row r="554" spans="1:11">
      <c r="A554" t="s">
        <v>976</v>
      </c>
      <c r="B554" s="1">
        <v>45756</v>
      </c>
      <c r="C554" t="s">
        <v>977</v>
      </c>
      <c r="D554" t="s">
        <v>18</v>
      </c>
      <c r="E554" t="s">
        <v>25</v>
      </c>
      <c r="F554" t="s">
        <v>36</v>
      </c>
      <c r="G554">
        <v>1</v>
      </c>
      <c r="H554" s="2">
        <v>103.5</v>
      </c>
      <c r="I554" s="3">
        <v>0</v>
      </c>
      <c r="J554" s="2">
        <v>103.5</v>
      </c>
      <c r="K554" t="s">
        <v>56</v>
      </c>
    </row>
    <row r="555" spans="1:11">
      <c r="A555" t="s">
        <v>978</v>
      </c>
      <c r="B555" s="1">
        <v>45691</v>
      </c>
      <c r="C555" t="s">
        <v>979</v>
      </c>
      <c r="D555" t="s">
        <v>22</v>
      </c>
      <c r="E555" t="s">
        <v>33</v>
      </c>
      <c r="F555" t="s">
        <v>31</v>
      </c>
      <c r="G555">
        <v>2</v>
      </c>
      <c r="H555" s="2">
        <v>81.790000000000006</v>
      </c>
      <c r="I555" s="3">
        <v>0.1</v>
      </c>
      <c r="J555" s="2">
        <v>147.22</v>
      </c>
      <c r="K555" t="s">
        <v>56</v>
      </c>
    </row>
    <row r="556" spans="1:11">
      <c r="A556" t="s">
        <v>980</v>
      </c>
      <c r="B556" s="1">
        <v>46017</v>
      </c>
      <c r="C556" t="s">
        <v>981</v>
      </c>
      <c r="D556" t="s">
        <v>18</v>
      </c>
      <c r="E556" t="s">
        <v>25</v>
      </c>
      <c r="F556" t="s">
        <v>78</v>
      </c>
      <c r="G556">
        <v>2</v>
      </c>
      <c r="H556" s="2">
        <v>41.47</v>
      </c>
      <c r="I556" s="3">
        <v>0</v>
      </c>
      <c r="J556" s="2">
        <v>82.94</v>
      </c>
      <c r="K556" t="s">
        <v>61</v>
      </c>
    </row>
    <row r="557" spans="1:11">
      <c r="A557" t="s">
        <v>982</v>
      </c>
      <c r="B557" s="1">
        <v>45827</v>
      </c>
      <c r="C557" t="s">
        <v>676</v>
      </c>
      <c r="D557" t="s">
        <v>18</v>
      </c>
      <c r="E557" t="s">
        <v>17</v>
      </c>
      <c r="F557" t="s">
        <v>19</v>
      </c>
      <c r="G557">
        <v>1</v>
      </c>
      <c r="H557" s="2">
        <v>68.56</v>
      </c>
      <c r="I557" s="3">
        <v>0.05</v>
      </c>
      <c r="J557" s="2">
        <v>65.13</v>
      </c>
      <c r="K557" t="s">
        <v>56</v>
      </c>
    </row>
    <row r="558" spans="1:11">
      <c r="A558" t="s">
        <v>983</v>
      </c>
      <c r="B558" s="1">
        <v>45774</v>
      </c>
      <c r="C558" t="s">
        <v>499</v>
      </c>
      <c r="D558" t="s">
        <v>26</v>
      </c>
      <c r="E558" t="s">
        <v>33</v>
      </c>
      <c r="F558" t="s">
        <v>34</v>
      </c>
      <c r="G558">
        <v>1</v>
      </c>
      <c r="H558" s="2">
        <v>28.97</v>
      </c>
      <c r="I558" s="3">
        <v>0.1</v>
      </c>
      <c r="J558" s="2">
        <v>26.07</v>
      </c>
      <c r="K558" t="s">
        <v>79</v>
      </c>
    </row>
    <row r="559" spans="1:11">
      <c r="A559" t="s">
        <v>984</v>
      </c>
      <c r="B559" s="1">
        <v>45857</v>
      </c>
      <c r="C559" t="s">
        <v>690</v>
      </c>
      <c r="D559" t="s">
        <v>18</v>
      </c>
      <c r="E559" t="s">
        <v>29</v>
      </c>
      <c r="F559" t="s">
        <v>92</v>
      </c>
      <c r="G559">
        <v>1</v>
      </c>
      <c r="H559" s="2">
        <v>46.86</v>
      </c>
      <c r="I559" s="3">
        <v>0.15</v>
      </c>
      <c r="J559" s="2">
        <v>39.83</v>
      </c>
      <c r="K559" t="s">
        <v>56</v>
      </c>
    </row>
    <row r="560" spans="1:11">
      <c r="A560" t="s">
        <v>985</v>
      </c>
      <c r="B560" s="1">
        <v>45695</v>
      </c>
      <c r="C560" t="s">
        <v>986</v>
      </c>
      <c r="D560" t="s">
        <v>26</v>
      </c>
      <c r="E560" t="s">
        <v>25</v>
      </c>
      <c r="F560" t="s">
        <v>36</v>
      </c>
      <c r="G560">
        <v>3</v>
      </c>
      <c r="H560" s="2">
        <v>78.77</v>
      </c>
      <c r="I560" s="3">
        <v>0.05</v>
      </c>
      <c r="J560" s="2">
        <v>224.49</v>
      </c>
      <c r="K560" t="s">
        <v>61</v>
      </c>
    </row>
    <row r="561" spans="1:11">
      <c r="A561" t="s">
        <v>987</v>
      </c>
      <c r="B561" s="1">
        <v>45853</v>
      </c>
      <c r="C561" t="s">
        <v>953</v>
      </c>
      <c r="D561" t="s">
        <v>22</v>
      </c>
      <c r="E561" t="s">
        <v>25</v>
      </c>
      <c r="F561" t="s">
        <v>38</v>
      </c>
      <c r="G561">
        <v>2</v>
      </c>
      <c r="H561" s="2">
        <v>102.36</v>
      </c>
      <c r="I561" s="3">
        <v>0</v>
      </c>
      <c r="J561" s="2">
        <v>204.72</v>
      </c>
      <c r="K561" t="s">
        <v>79</v>
      </c>
    </row>
    <row r="562" spans="1:11">
      <c r="A562" t="s">
        <v>988</v>
      </c>
      <c r="B562" s="1">
        <v>45858</v>
      </c>
      <c r="C562" t="s">
        <v>989</v>
      </c>
      <c r="D562" t="s">
        <v>18</v>
      </c>
      <c r="E562" t="s">
        <v>21</v>
      </c>
      <c r="F562" t="s">
        <v>71</v>
      </c>
      <c r="G562">
        <v>1</v>
      </c>
      <c r="H562" s="2">
        <v>73.09</v>
      </c>
      <c r="I562" s="3">
        <v>0.05</v>
      </c>
      <c r="J562" s="2">
        <v>69.44</v>
      </c>
      <c r="K562" t="s">
        <v>56</v>
      </c>
    </row>
    <row r="563" spans="1:11">
      <c r="A563" t="s">
        <v>990</v>
      </c>
      <c r="B563" s="1">
        <v>45942</v>
      </c>
      <c r="C563" t="s">
        <v>991</v>
      </c>
      <c r="D563" t="s">
        <v>18</v>
      </c>
      <c r="E563" t="s">
        <v>17</v>
      </c>
      <c r="F563" t="s">
        <v>27</v>
      </c>
      <c r="G563">
        <v>1</v>
      </c>
      <c r="H563" s="2">
        <v>50.25</v>
      </c>
      <c r="I563" s="3">
        <v>0.15</v>
      </c>
      <c r="J563" s="2">
        <v>42.71</v>
      </c>
      <c r="K563" t="s">
        <v>61</v>
      </c>
    </row>
    <row r="564" spans="1:11">
      <c r="A564" t="s">
        <v>992</v>
      </c>
      <c r="B564" s="1">
        <v>45765</v>
      </c>
      <c r="C564" t="s">
        <v>993</v>
      </c>
      <c r="D564" t="s">
        <v>22</v>
      </c>
      <c r="E564" t="s">
        <v>25</v>
      </c>
      <c r="F564" t="s">
        <v>78</v>
      </c>
      <c r="G564">
        <v>2</v>
      </c>
      <c r="H564" s="2">
        <v>42.49</v>
      </c>
      <c r="I564" s="3">
        <v>0</v>
      </c>
      <c r="J564" s="2">
        <v>84.98</v>
      </c>
      <c r="K564" t="s">
        <v>79</v>
      </c>
    </row>
    <row r="565" spans="1:11">
      <c r="A565" t="s">
        <v>994</v>
      </c>
      <c r="B565" s="1">
        <v>45752</v>
      </c>
      <c r="C565" t="s">
        <v>995</v>
      </c>
      <c r="D565" t="s">
        <v>18</v>
      </c>
      <c r="E565" t="s">
        <v>33</v>
      </c>
      <c r="F565" t="s">
        <v>31</v>
      </c>
      <c r="G565">
        <v>2</v>
      </c>
      <c r="H565" s="2">
        <v>69.069999999999993</v>
      </c>
      <c r="I565" s="3">
        <v>0</v>
      </c>
      <c r="J565" s="2">
        <v>138.13999999999999</v>
      </c>
      <c r="K565" t="s">
        <v>56</v>
      </c>
    </row>
    <row r="566" spans="1:11">
      <c r="A566" t="s">
        <v>996</v>
      </c>
      <c r="B566" s="1">
        <v>45894</v>
      </c>
      <c r="C566" t="s">
        <v>269</v>
      </c>
      <c r="D566" t="s">
        <v>18</v>
      </c>
      <c r="E566" t="s">
        <v>29</v>
      </c>
      <c r="F566" t="s">
        <v>92</v>
      </c>
      <c r="G566">
        <v>1</v>
      </c>
      <c r="H566" s="2">
        <v>52.03</v>
      </c>
      <c r="I566" s="3">
        <v>0</v>
      </c>
      <c r="J566" s="2">
        <v>52.03</v>
      </c>
      <c r="K566" t="s">
        <v>79</v>
      </c>
    </row>
    <row r="567" spans="1:11">
      <c r="A567" t="s">
        <v>997</v>
      </c>
      <c r="B567" s="1">
        <v>45955</v>
      </c>
      <c r="C567" t="s">
        <v>139</v>
      </c>
      <c r="D567" t="s">
        <v>26</v>
      </c>
      <c r="E567" t="s">
        <v>21</v>
      </c>
      <c r="F567" t="s">
        <v>40</v>
      </c>
      <c r="G567">
        <v>4</v>
      </c>
      <c r="H567" s="2">
        <v>47.42</v>
      </c>
      <c r="I567" s="3">
        <v>0</v>
      </c>
      <c r="J567" s="2">
        <v>189.68</v>
      </c>
      <c r="K567" t="s">
        <v>56</v>
      </c>
    </row>
    <row r="568" spans="1:11">
      <c r="A568" t="s">
        <v>998</v>
      </c>
      <c r="B568" s="1">
        <v>45693</v>
      </c>
      <c r="C568" t="s">
        <v>999</v>
      </c>
      <c r="D568" t="s">
        <v>22</v>
      </c>
      <c r="E568" t="s">
        <v>33</v>
      </c>
      <c r="F568" t="s">
        <v>31</v>
      </c>
      <c r="G568">
        <v>1</v>
      </c>
      <c r="H568" s="2">
        <v>73.900000000000006</v>
      </c>
      <c r="I568" s="3">
        <v>0.15</v>
      </c>
      <c r="J568" s="2">
        <v>62.82</v>
      </c>
      <c r="K568" t="s">
        <v>56</v>
      </c>
    </row>
    <row r="569" spans="1:11">
      <c r="A569" t="s">
        <v>1000</v>
      </c>
      <c r="B569" s="1">
        <v>45948</v>
      </c>
      <c r="C569" t="s">
        <v>943</v>
      </c>
      <c r="D569" t="s">
        <v>26</v>
      </c>
      <c r="E569" t="s">
        <v>25</v>
      </c>
      <c r="F569" t="s">
        <v>36</v>
      </c>
      <c r="G569">
        <v>2</v>
      </c>
      <c r="H569" s="2">
        <v>103.81</v>
      </c>
      <c r="I569" s="3">
        <v>0</v>
      </c>
      <c r="J569" s="2">
        <v>207.62</v>
      </c>
      <c r="K569" t="s">
        <v>79</v>
      </c>
    </row>
    <row r="570" spans="1:11">
      <c r="A570" t="s">
        <v>1001</v>
      </c>
      <c r="B570" s="1">
        <v>45771</v>
      </c>
      <c r="C570" t="s">
        <v>1002</v>
      </c>
      <c r="D570" t="s">
        <v>26</v>
      </c>
      <c r="E570" t="s">
        <v>25</v>
      </c>
      <c r="F570" t="s">
        <v>78</v>
      </c>
      <c r="G570">
        <v>2</v>
      </c>
      <c r="H570" s="2">
        <v>38.76</v>
      </c>
      <c r="I570" s="3">
        <v>0.05</v>
      </c>
      <c r="J570" s="2">
        <v>73.64</v>
      </c>
      <c r="K570" t="s">
        <v>61</v>
      </c>
    </row>
    <row r="571" spans="1:11">
      <c r="A571" t="s">
        <v>1003</v>
      </c>
      <c r="B571" s="1">
        <v>45894</v>
      </c>
      <c r="C571" t="s">
        <v>551</v>
      </c>
      <c r="D571" t="s">
        <v>22</v>
      </c>
      <c r="E571" t="s">
        <v>21</v>
      </c>
      <c r="F571" t="s">
        <v>40</v>
      </c>
      <c r="G571">
        <v>1</v>
      </c>
      <c r="H571" s="2">
        <v>46.59</v>
      </c>
      <c r="I571" s="3">
        <v>0.15</v>
      </c>
      <c r="J571" s="2">
        <v>39.6</v>
      </c>
      <c r="K571" t="s">
        <v>56</v>
      </c>
    </row>
    <row r="572" spans="1:11">
      <c r="A572" t="s">
        <v>1004</v>
      </c>
      <c r="B572" s="1">
        <v>45968</v>
      </c>
      <c r="C572" t="s">
        <v>203</v>
      </c>
      <c r="D572" t="s">
        <v>22</v>
      </c>
      <c r="E572" t="s">
        <v>17</v>
      </c>
      <c r="F572" t="s">
        <v>23</v>
      </c>
      <c r="G572">
        <v>3</v>
      </c>
      <c r="H572" s="2">
        <v>146.21</v>
      </c>
      <c r="I572" s="3">
        <v>0</v>
      </c>
      <c r="J572" s="2">
        <v>438.63</v>
      </c>
      <c r="K572" t="s">
        <v>61</v>
      </c>
    </row>
    <row r="573" spans="1:11">
      <c r="A573" t="s">
        <v>1005</v>
      </c>
      <c r="B573" s="1">
        <v>45978</v>
      </c>
      <c r="C573" t="s">
        <v>1006</v>
      </c>
      <c r="D573" t="s">
        <v>30</v>
      </c>
      <c r="E573" t="s">
        <v>17</v>
      </c>
      <c r="F573" t="s">
        <v>23</v>
      </c>
      <c r="G573">
        <v>2</v>
      </c>
      <c r="H573" s="2">
        <v>147.63</v>
      </c>
      <c r="I573" s="3">
        <v>0.15</v>
      </c>
      <c r="J573" s="2">
        <v>250.97</v>
      </c>
      <c r="K573" t="s">
        <v>56</v>
      </c>
    </row>
    <row r="574" spans="1:11">
      <c r="A574" t="s">
        <v>1007</v>
      </c>
      <c r="B574" s="1">
        <v>45766</v>
      </c>
      <c r="C574" t="s">
        <v>1008</v>
      </c>
      <c r="D574" t="s">
        <v>22</v>
      </c>
      <c r="E574" t="s">
        <v>17</v>
      </c>
      <c r="F574" t="s">
        <v>19</v>
      </c>
      <c r="G574">
        <v>2</v>
      </c>
      <c r="H574" s="2">
        <v>81.319999999999993</v>
      </c>
      <c r="I574" s="3">
        <v>0.15</v>
      </c>
      <c r="J574" s="2">
        <v>138.24</v>
      </c>
      <c r="K574" t="s">
        <v>61</v>
      </c>
    </row>
    <row r="575" spans="1:11">
      <c r="A575" t="s">
        <v>1009</v>
      </c>
      <c r="B575" s="1">
        <v>45858</v>
      </c>
      <c r="C575" t="s">
        <v>1002</v>
      </c>
      <c r="D575" t="s">
        <v>30</v>
      </c>
      <c r="E575" t="s">
        <v>33</v>
      </c>
      <c r="F575" t="s">
        <v>31</v>
      </c>
      <c r="G575">
        <v>3</v>
      </c>
      <c r="H575" s="2">
        <v>77.3</v>
      </c>
      <c r="I575" s="3">
        <v>0.05</v>
      </c>
      <c r="J575" s="2">
        <v>220.3</v>
      </c>
      <c r="K575" t="s">
        <v>56</v>
      </c>
    </row>
    <row r="576" spans="1:11">
      <c r="A576" t="s">
        <v>1010</v>
      </c>
      <c r="B576" s="1">
        <v>45919</v>
      </c>
      <c r="C576" t="s">
        <v>1011</v>
      </c>
      <c r="D576" t="s">
        <v>22</v>
      </c>
      <c r="E576" t="s">
        <v>17</v>
      </c>
      <c r="F576" t="s">
        <v>23</v>
      </c>
      <c r="G576">
        <v>1</v>
      </c>
      <c r="H576" s="2">
        <v>131.03</v>
      </c>
      <c r="I576" s="3">
        <v>0</v>
      </c>
      <c r="J576" s="2">
        <v>131.03</v>
      </c>
      <c r="K576" t="s">
        <v>61</v>
      </c>
    </row>
    <row r="577" spans="1:11">
      <c r="A577" t="s">
        <v>1012</v>
      </c>
      <c r="B577" s="1">
        <v>45739</v>
      </c>
      <c r="C577" t="s">
        <v>227</v>
      </c>
      <c r="D577" t="s">
        <v>26</v>
      </c>
      <c r="E577" t="s">
        <v>17</v>
      </c>
      <c r="F577" t="s">
        <v>27</v>
      </c>
      <c r="G577">
        <v>2</v>
      </c>
      <c r="H577" s="2">
        <v>61.17</v>
      </c>
      <c r="I577" s="3">
        <v>0</v>
      </c>
      <c r="J577" s="2">
        <v>122.34</v>
      </c>
      <c r="K577" t="s">
        <v>79</v>
      </c>
    </row>
    <row r="578" spans="1:11">
      <c r="A578" t="s">
        <v>1013</v>
      </c>
      <c r="B578" s="1">
        <v>45770</v>
      </c>
      <c r="C578" t="s">
        <v>847</v>
      </c>
      <c r="D578" t="s">
        <v>22</v>
      </c>
      <c r="E578" t="s">
        <v>21</v>
      </c>
      <c r="F578" t="s">
        <v>40</v>
      </c>
      <c r="G578">
        <v>1</v>
      </c>
      <c r="H578" s="2">
        <v>45.92</v>
      </c>
      <c r="I578" s="3">
        <v>0</v>
      </c>
      <c r="J578" s="2">
        <v>45.92</v>
      </c>
      <c r="K578" t="s">
        <v>56</v>
      </c>
    </row>
    <row r="579" spans="1:11">
      <c r="A579" t="s">
        <v>1014</v>
      </c>
      <c r="B579" s="1">
        <v>45842</v>
      </c>
      <c r="C579" t="s">
        <v>417</v>
      </c>
      <c r="D579" t="s">
        <v>26</v>
      </c>
      <c r="E579" t="s">
        <v>25</v>
      </c>
      <c r="F579" t="s">
        <v>38</v>
      </c>
      <c r="G579">
        <v>1</v>
      </c>
      <c r="H579" s="2">
        <v>119</v>
      </c>
      <c r="I579" s="3">
        <v>0</v>
      </c>
      <c r="J579" s="2">
        <v>119</v>
      </c>
      <c r="K579" t="s">
        <v>79</v>
      </c>
    </row>
    <row r="580" spans="1:11">
      <c r="A580" t="s">
        <v>1015</v>
      </c>
      <c r="B580" s="1">
        <v>46018</v>
      </c>
      <c r="C580" t="s">
        <v>581</v>
      </c>
      <c r="D580" t="s">
        <v>22</v>
      </c>
      <c r="E580" t="s">
        <v>21</v>
      </c>
      <c r="F580" t="s">
        <v>71</v>
      </c>
      <c r="G580">
        <v>2</v>
      </c>
      <c r="H580" s="2">
        <v>64.88</v>
      </c>
      <c r="I580" s="3">
        <v>0.05</v>
      </c>
      <c r="J580" s="2">
        <v>123.27</v>
      </c>
      <c r="K580" t="s">
        <v>61</v>
      </c>
    </row>
    <row r="581" spans="1:11">
      <c r="A581" t="s">
        <v>1016</v>
      </c>
      <c r="B581" s="1">
        <v>45992</v>
      </c>
      <c r="C581" t="s">
        <v>1017</v>
      </c>
      <c r="D581" t="s">
        <v>26</v>
      </c>
      <c r="E581" t="s">
        <v>25</v>
      </c>
      <c r="F581" t="s">
        <v>38</v>
      </c>
      <c r="G581">
        <v>1</v>
      </c>
      <c r="H581" s="2">
        <v>126.81</v>
      </c>
      <c r="I581" s="3">
        <v>0</v>
      </c>
      <c r="J581" s="2">
        <v>126.81</v>
      </c>
      <c r="K581" t="s">
        <v>61</v>
      </c>
    </row>
    <row r="582" spans="1:11">
      <c r="A582" t="s">
        <v>1018</v>
      </c>
      <c r="B582" s="1">
        <v>45772</v>
      </c>
      <c r="C582" t="s">
        <v>128</v>
      </c>
      <c r="D582" t="s">
        <v>30</v>
      </c>
      <c r="E582" t="s">
        <v>21</v>
      </c>
      <c r="F582" t="s">
        <v>71</v>
      </c>
      <c r="G582">
        <v>1</v>
      </c>
      <c r="H582" s="2">
        <v>77.260000000000005</v>
      </c>
      <c r="I582" s="3">
        <v>0.05</v>
      </c>
      <c r="J582" s="2">
        <v>73.400000000000006</v>
      </c>
      <c r="K582" t="s">
        <v>56</v>
      </c>
    </row>
    <row r="583" spans="1:11">
      <c r="A583" t="s">
        <v>1019</v>
      </c>
      <c r="B583" s="1">
        <v>45661</v>
      </c>
      <c r="C583" t="s">
        <v>638</v>
      </c>
      <c r="D583" t="s">
        <v>26</v>
      </c>
      <c r="E583" t="s">
        <v>21</v>
      </c>
      <c r="F583" t="s">
        <v>71</v>
      </c>
      <c r="G583">
        <v>3</v>
      </c>
      <c r="H583" s="2">
        <v>68.67</v>
      </c>
      <c r="I583" s="3">
        <v>0</v>
      </c>
      <c r="J583" s="2">
        <v>206.01</v>
      </c>
      <c r="K583" t="s">
        <v>79</v>
      </c>
    </row>
    <row r="584" spans="1:11">
      <c r="A584" t="s">
        <v>1020</v>
      </c>
      <c r="B584" s="1">
        <v>45734</v>
      </c>
      <c r="C584" t="s">
        <v>110</v>
      </c>
      <c r="D584" t="s">
        <v>30</v>
      </c>
      <c r="E584" t="s">
        <v>17</v>
      </c>
      <c r="F584" t="s">
        <v>27</v>
      </c>
      <c r="G584">
        <v>1</v>
      </c>
      <c r="H584" s="2">
        <v>61.87</v>
      </c>
      <c r="I584" s="3">
        <v>0</v>
      </c>
      <c r="J584" s="2">
        <v>61.87</v>
      </c>
      <c r="K584" t="s">
        <v>61</v>
      </c>
    </row>
    <row r="585" spans="1:11">
      <c r="A585" t="s">
        <v>1021</v>
      </c>
      <c r="B585" s="1">
        <v>45716</v>
      </c>
      <c r="C585" t="s">
        <v>150</v>
      </c>
      <c r="D585" t="s">
        <v>30</v>
      </c>
      <c r="E585" t="s">
        <v>21</v>
      </c>
      <c r="F585" t="s">
        <v>40</v>
      </c>
      <c r="G585">
        <v>2</v>
      </c>
      <c r="H585" s="2">
        <v>49.4</v>
      </c>
      <c r="I585" s="3">
        <v>0.15</v>
      </c>
      <c r="J585" s="2">
        <v>83.98</v>
      </c>
      <c r="K585" t="s">
        <v>79</v>
      </c>
    </row>
    <row r="586" spans="1:11">
      <c r="A586" t="s">
        <v>1022</v>
      </c>
      <c r="B586" s="1">
        <v>45782</v>
      </c>
      <c r="C586" t="s">
        <v>385</v>
      </c>
      <c r="D586" t="s">
        <v>18</v>
      </c>
      <c r="E586" t="s">
        <v>17</v>
      </c>
      <c r="F586" t="s">
        <v>19</v>
      </c>
      <c r="G586">
        <v>1</v>
      </c>
      <c r="H586" s="2">
        <v>82.59</v>
      </c>
      <c r="I586" s="3">
        <v>0</v>
      </c>
      <c r="J586" s="2">
        <v>82.59</v>
      </c>
      <c r="K586" t="s">
        <v>56</v>
      </c>
    </row>
    <row r="587" spans="1:11">
      <c r="A587" t="s">
        <v>1023</v>
      </c>
      <c r="B587" s="1">
        <v>45733</v>
      </c>
      <c r="C587" t="s">
        <v>1024</v>
      </c>
      <c r="D587" t="s">
        <v>18</v>
      </c>
      <c r="E587" t="s">
        <v>17</v>
      </c>
      <c r="F587" t="s">
        <v>19</v>
      </c>
      <c r="G587">
        <v>1</v>
      </c>
      <c r="H587" s="2">
        <v>91.2</v>
      </c>
      <c r="I587" s="3">
        <v>0.15</v>
      </c>
      <c r="J587" s="2">
        <v>77.52</v>
      </c>
      <c r="K587" t="s">
        <v>56</v>
      </c>
    </row>
    <row r="588" spans="1:11">
      <c r="A588" t="s">
        <v>1025</v>
      </c>
      <c r="B588" s="1">
        <v>45996</v>
      </c>
      <c r="C588" t="s">
        <v>1026</v>
      </c>
      <c r="D588" t="s">
        <v>30</v>
      </c>
      <c r="E588" t="s">
        <v>33</v>
      </c>
      <c r="F588" t="s">
        <v>34</v>
      </c>
      <c r="G588">
        <v>3</v>
      </c>
      <c r="H588" s="2">
        <v>26.72</v>
      </c>
      <c r="I588" s="3">
        <v>0.15</v>
      </c>
      <c r="J588" s="2">
        <v>68.14</v>
      </c>
      <c r="K588" t="s">
        <v>79</v>
      </c>
    </row>
    <row r="589" spans="1:11">
      <c r="A589" t="s">
        <v>1027</v>
      </c>
      <c r="B589" s="1">
        <v>45770</v>
      </c>
      <c r="C589" t="s">
        <v>1028</v>
      </c>
      <c r="D589" t="s">
        <v>26</v>
      </c>
      <c r="E589" t="s">
        <v>25</v>
      </c>
      <c r="F589" t="s">
        <v>38</v>
      </c>
      <c r="G589">
        <v>2</v>
      </c>
      <c r="H589" s="2">
        <v>132.35</v>
      </c>
      <c r="I589" s="3">
        <v>0</v>
      </c>
      <c r="J589" s="2">
        <v>264.7</v>
      </c>
      <c r="K589" t="s">
        <v>79</v>
      </c>
    </row>
    <row r="590" spans="1:11">
      <c r="A590" t="s">
        <v>1029</v>
      </c>
      <c r="B590" s="1">
        <v>46009</v>
      </c>
      <c r="C590" t="s">
        <v>110</v>
      </c>
      <c r="D590" t="s">
        <v>30</v>
      </c>
      <c r="E590" t="s">
        <v>25</v>
      </c>
      <c r="F590" t="s">
        <v>36</v>
      </c>
      <c r="G590">
        <v>3</v>
      </c>
      <c r="H590" s="2">
        <v>93.17</v>
      </c>
      <c r="I590" s="3">
        <v>0</v>
      </c>
      <c r="J590" s="2">
        <v>279.51</v>
      </c>
      <c r="K590" t="s">
        <v>61</v>
      </c>
    </row>
    <row r="591" spans="1:11">
      <c r="A591" t="s">
        <v>1030</v>
      </c>
      <c r="B591" s="1">
        <v>45725</v>
      </c>
      <c r="C591" t="s">
        <v>60</v>
      </c>
      <c r="D591" t="s">
        <v>22</v>
      </c>
      <c r="E591" t="s">
        <v>17</v>
      </c>
      <c r="F591" t="s">
        <v>23</v>
      </c>
      <c r="G591">
        <v>1</v>
      </c>
      <c r="H591" s="2">
        <v>131.9</v>
      </c>
      <c r="I591" s="3">
        <v>0.15</v>
      </c>
      <c r="J591" s="2">
        <v>112.11</v>
      </c>
      <c r="K591" t="s">
        <v>56</v>
      </c>
    </row>
    <row r="592" spans="1:11">
      <c r="A592" t="s">
        <v>1031</v>
      </c>
      <c r="B592" s="1">
        <v>45707</v>
      </c>
      <c r="C592" t="s">
        <v>1032</v>
      </c>
      <c r="D592" t="s">
        <v>18</v>
      </c>
      <c r="E592" t="s">
        <v>17</v>
      </c>
      <c r="F592" t="s">
        <v>27</v>
      </c>
      <c r="G592">
        <v>1</v>
      </c>
      <c r="H592" s="2">
        <v>62.12</v>
      </c>
      <c r="I592" s="3">
        <v>0</v>
      </c>
      <c r="J592" s="2">
        <v>62.12</v>
      </c>
      <c r="K592" t="s">
        <v>79</v>
      </c>
    </row>
    <row r="593" spans="1:11">
      <c r="A593" t="s">
        <v>1033</v>
      </c>
      <c r="B593" s="1">
        <v>45904</v>
      </c>
      <c r="C593" t="s">
        <v>1034</v>
      </c>
      <c r="D593" t="s">
        <v>30</v>
      </c>
      <c r="E593" t="s">
        <v>29</v>
      </c>
      <c r="F593" t="s">
        <v>92</v>
      </c>
      <c r="G593">
        <v>1</v>
      </c>
      <c r="H593" s="2">
        <v>57.7</v>
      </c>
      <c r="I593" s="3">
        <v>0</v>
      </c>
      <c r="J593" s="2">
        <v>57.7</v>
      </c>
      <c r="K593" t="s">
        <v>61</v>
      </c>
    </row>
    <row r="594" spans="1:11">
      <c r="A594" t="s">
        <v>1035</v>
      </c>
      <c r="B594" s="1">
        <v>45680</v>
      </c>
      <c r="C594" t="s">
        <v>599</v>
      </c>
      <c r="D594" t="s">
        <v>26</v>
      </c>
      <c r="E594" t="s">
        <v>25</v>
      </c>
      <c r="F594" t="s">
        <v>78</v>
      </c>
      <c r="G594">
        <v>1</v>
      </c>
      <c r="H594" s="2">
        <v>36.1</v>
      </c>
      <c r="I594" s="3">
        <v>0.1</v>
      </c>
      <c r="J594" s="2">
        <v>32.49</v>
      </c>
      <c r="K594" t="s">
        <v>56</v>
      </c>
    </row>
    <row r="595" spans="1:11">
      <c r="A595" t="s">
        <v>1036</v>
      </c>
      <c r="B595" s="1">
        <v>46014</v>
      </c>
      <c r="C595" t="s">
        <v>73</v>
      </c>
      <c r="D595" t="s">
        <v>18</v>
      </c>
      <c r="E595" t="s">
        <v>29</v>
      </c>
      <c r="F595" t="s">
        <v>68</v>
      </c>
      <c r="G595">
        <v>1</v>
      </c>
      <c r="H595" s="2">
        <v>40.24</v>
      </c>
      <c r="I595" s="3">
        <v>0.1</v>
      </c>
      <c r="J595" s="2">
        <v>36.22</v>
      </c>
      <c r="K595" t="s">
        <v>61</v>
      </c>
    </row>
    <row r="596" spans="1:11">
      <c r="A596" t="s">
        <v>1037</v>
      </c>
      <c r="B596" s="1">
        <v>45964</v>
      </c>
      <c r="C596" t="s">
        <v>70</v>
      </c>
      <c r="D596" t="s">
        <v>18</v>
      </c>
      <c r="E596" t="s">
        <v>21</v>
      </c>
      <c r="F596" t="s">
        <v>71</v>
      </c>
      <c r="G596">
        <v>1</v>
      </c>
      <c r="H596" s="2">
        <v>62.95</v>
      </c>
      <c r="I596" s="3">
        <v>0</v>
      </c>
      <c r="J596" s="2">
        <v>62.95</v>
      </c>
      <c r="K596" t="s">
        <v>56</v>
      </c>
    </row>
    <row r="597" spans="1:11">
      <c r="A597" t="s">
        <v>1038</v>
      </c>
      <c r="B597" s="1">
        <v>45661</v>
      </c>
      <c r="C597" t="s">
        <v>336</v>
      </c>
      <c r="D597" t="s">
        <v>26</v>
      </c>
      <c r="E597" t="s">
        <v>25</v>
      </c>
      <c r="F597" t="s">
        <v>38</v>
      </c>
      <c r="G597">
        <v>2</v>
      </c>
      <c r="H597" s="2">
        <v>128.16</v>
      </c>
      <c r="I597" s="3">
        <v>0.05</v>
      </c>
      <c r="J597" s="2">
        <v>243.5</v>
      </c>
      <c r="K597" t="s">
        <v>79</v>
      </c>
    </row>
    <row r="598" spans="1:11">
      <c r="A598" t="s">
        <v>1039</v>
      </c>
      <c r="B598" s="1">
        <v>45737</v>
      </c>
      <c r="C598" t="s">
        <v>106</v>
      </c>
      <c r="D598" t="s">
        <v>26</v>
      </c>
      <c r="E598" t="s">
        <v>25</v>
      </c>
      <c r="F598" t="s">
        <v>38</v>
      </c>
      <c r="G598">
        <v>2</v>
      </c>
      <c r="H598" s="2">
        <v>111.11</v>
      </c>
      <c r="I598" s="3">
        <v>0.15</v>
      </c>
      <c r="J598" s="2">
        <v>188.89</v>
      </c>
      <c r="K598" t="s">
        <v>56</v>
      </c>
    </row>
    <row r="599" spans="1:11">
      <c r="A599" t="s">
        <v>1040</v>
      </c>
      <c r="B599" s="1">
        <v>45799</v>
      </c>
      <c r="C599" t="s">
        <v>330</v>
      </c>
      <c r="D599" t="s">
        <v>30</v>
      </c>
      <c r="E599" t="s">
        <v>29</v>
      </c>
      <c r="F599" t="s">
        <v>92</v>
      </c>
      <c r="G599">
        <v>1</v>
      </c>
      <c r="H599" s="2">
        <v>50.45</v>
      </c>
      <c r="I599" s="3">
        <v>0.15</v>
      </c>
      <c r="J599" s="2">
        <v>42.88</v>
      </c>
      <c r="K599" t="s">
        <v>79</v>
      </c>
    </row>
    <row r="600" spans="1:11">
      <c r="A600" t="s">
        <v>1041</v>
      </c>
      <c r="B600" s="1">
        <v>45847</v>
      </c>
      <c r="C600" t="s">
        <v>70</v>
      </c>
      <c r="D600" t="s">
        <v>26</v>
      </c>
      <c r="E600" t="s">
        <v>21</v>
      </c>
      <c r="F600" t="s">
        <v>71</v>
      </c>
      <c r="G600">
        <v>2</v>
      </c>
      <c r="H600" s="2">
        <v>64.430000000000007</v>
      </c>
      <c r="I600" s="3">
        <v>0.05</v>
      </c>
      <c r="J600" s="2">
        <v>122.42</v>
      </c>
      <c r="K600" t="s">
        <v>56</v>
      </c>
    </row>
    <row r="601" spans="1:11">
      <c r="A601" t="s">
        <v>1042</v>
      </c>
      <c r="B601" s="1">
        <v>45861</v>
      </c>
      <c r="C601" t="s">
        <v>110</v>
      </c>
      <c r="D601" t="s">
        <v>30</v>
      </c>
      <c r="E601" t="s">
        <v>25</v>
      </c>
      <c r="F601" t="s">
        <v>78</v>
      </c>
      <c r="G601">
        <v>1</v>
      </c>
      <c r="H601" s="2">
        <v>44.27</v>
      </c>
      <c r="I601" s="3">
        <v>0</v>
      </c>
      <c r="J601" s="2">
        <v>44.27</v>
      </c>
      <c r="K601" t="s">
        <v>56</v>
      </c>
    </row>
    <row r="602" spans="1:11">
      <c r="A602" t="s">
        <v>1043</v>
      </c>
      <c r="B602" s="1">
        <v>45740</v>
      </c>
      <c r="C602" t="s">
        <v>122</v>
      </c>
      <c r="D602" t="s">
        <v>18</v>
      </c>
      <c r="E602" t="s">
        <v>17</v>
      </c>
      <c r="F602" t="s">
        <v>23</v>
      </c>
      <c r="G602">
        <v>1</v>
      </c>
      <c r="H602" s="2">
        <v>126.7</v>
      </c>
      <c r="I602" s="3">
        <v>0.05</v>
      </c>
      <c r="J602" s="2">
        <v>120.36</v>
      </c>
      <c r="K602" t="s">
        <v>79</v>
      </c>
    </row>
    <row r="603" spans="1:11">
      <c r="A603" t="s">
        <v>1044</v>
      </c>
      <c r="B603" s="1">
        <v>45857</v>
      </c>
      <c r="C603" t="s">
        <v>1026</v>
      </c>
      <c r="D603" t="s">
        <v>30</v>
      </c>
      <c r="E603" t="s">
        <v>29</v>
      </c>
      <c r="F603" t="s">
        <v>92</v>
      </c>
      <c r="G603">
        <v>1</v>
      </c>
      <c r="H603" s="2">
        <v>48.4</v>
      </c>
      <c r="I603" s="3">
        <v>0</v>
      </c>
      <c r="J603" s="2">
        <v>48.4</v>
      </c>
      <c r="K603" t="s">
        <v>79</v>
      </c>
    </row>
    <row r="604" spans="1:11">
      <c r="A604" t="s">
        <v>1045</v>
      </c>
      <c r="B604" s="1">
        <v>45690</v>
      </c>
      <c r="C604" t="s">
        <v>1046</v>
      </c>
      <c r="D604" t="s">
        <v>30</v>
      </c>
      <c r="E604" t="s">
        <v>33</v>
      </c>
      <c r="F604" t="s">
        <v>34</v>
      </c>
      <c r="G604">
        <v>1</v>
      </c>
      <c r="H604" s="2">
        <v>25.42</v>
      </c>
      <c r="I604" s="3">
        <v>0</v>
      </c>
      <c r="J604" s="2">
        <v>25.42</v>
      </c>
      <c r="K604" t="s">
        <v>56</v>
      </c>
    </row>
    <row r="605" spans="1:11">
      <c r="A605" t="s">
        <v>1047</v>
      </c>
      <c r="B605" s="1">
        <v>45993</v>
      </c>
      <c r="C605" t="s">
        <v>391</v>
      </c>
      <c r="D605" t="s">
        <v>30</v>
      </c>
      <c r="E605" t="s">
        <v>21</v>
      </c>
      <c r="F605" t="s">
        <v>71</v>
      </c>
      <c r="G605">
        <v>1</v>
      </c>
      <c r="H605" s="2">
        <v>80.59</v>
      </c>
      <c r="I605" s="3">
        <v>0</v>
      </c>
      <c r="J605" s="2">
        <v>80.59</v>
      </c>
      <c r="K605" t="s">
        <v>61</v>
      </c>
    </row>
    <row r="606" spans="1:11">
      <c r="A606" t="s">
        <v>1048</v>
      </c>
      <c r="B606" s="1">
        <v>45663</v>
      </c>
      <c r="C606" t="s">
        <v>1049</v>
      </c>
      <c r="D606" t="s">
        <v>22</v>
      </c>
      <c r="E606" t="s">
        <v>33</v>
      </c>
      <c r="F606" t="s">
        <v>31</v>
      </c>
      <c r="G606">
        <v>3</v>
      </c>
      <c r="H606" s="2">
        <v>85.63</v>
      </c>
      <c r="I606" s="3">
        <v>0.15</v>
      </c>
      <c r="J606" s="2">
        <v>218.36</v>
      </c>
      <c r="K606" t="s">
        <v>79</v>
      </c>
    </row>
    <row r="607" spans="1:11">
      <c r="A607" t="s">
        <v>1050</v>
      </c>
      <c r="B607" s="1">
        <v>45964</v>
      </c>
      <c r="C607" t="s">
        <v>305</v>
      </c>
      <c r="D607" t="s">
        <v>26</v>
      </c>
      <c r="E607" t="s">
        <v>21</v>
      </c>
      <c r="F607" t="s">
        <v>71</v>
      </c>
      <c r="G607">
        <v>1</v>
      </c>
      <c r="H607" s="2">
        <v>63.93</v>
      </c>
      <c r="I607" s="3">
        <v>0</v>
      </c>
      <c r="J607" s="2">
        <v>63.93</v>
      </c>
      <c r="K607" t="s">
        <v>79</v>
      </c>
    </row>
    <row r="608" spans="1:11">
      <c r="A608" t="s">
        <v>1051</v>
      </c>
      <c r="B608" s="1">
        <v>45993</v>
      </c>
      <c r="C608" t="s">
        <v>186</v>
      </c>
      <c r="D608" t="s">
        <v>26</v>
      </c>
      <c r="E608" t="s">
        <v>17</v>
      </c>
      <c r="F608" t="s">
        <v>19</v>
      </c>
      <c r="G608">
        <v>4</v>
      </c>
      <c r="H608" s="2">
        <v>69.41</v>
      </c>
      <c r="I608" s="3">
        <v>0.05</v>
      </c>
      <c r="J608" s="2">
        <v>263.76</v>
      </c>
      <c r="K608" t="s">
        <v>56</v>
      </c>
    </row>
    <row r="609" spans="1:11">
      <c r="A609" t="s">
        <v>1052</v>
      </c>
      <c r="B609" s="1">
        <v>45860</v>
      </c>
      <c r="C609" t="s">
        <v>1053</v>
      </c>
      <c r="D609" t="s">
        <v>26</v>
      </c>
      <c r="E609" t="s">
        <v>25</v>
      </c>
      <c r="F609" t="s">
        <v>38</v>
      </c>
      <c r="G609">
        <v>2</v>
      </c>
      <c r="H609" s="2">
        <v>121.48</v>
      </c>
      <c r="I609" s="3">
        <v>0</v>
      </c>
      <c r="J609" s="2">
        <v>242.96</v>
      </c>
      <c r="K609" t="s">
        <v>56</v>
      </c>
    </row>
    <row r="610" spans="1:11">
      <c r="A610" t="s">
        <v>1054</v>
      </c>
      <c r="B610" s="1">
        <v>45944</v>
      </c>
      <c r="C610" t="s">
        <v>255</v>
      </c>
      <c r="D610" t="s">
        <v>22</v>
      </c>
      <c r="E610" t="s">
        <v>29</v>
      </c>
      <c r="F610" t="s">
        <v>68</v>
      </c>
      <c r="G610">
        <v>1</v>
      </c>
      <c r="H610" s="2">
        <v>52.55</v>
      </c>
      <c r="I610" s="3">
        <v>0.05</v>
      </c>
      <c r="J610" s="2">
        <v>49.92</v>
      </c>
      <c r="K610" t="s">
        <v>61</v>
      </c>
    </row>
    <row r="611" spans="1:11">
      <c r="A611" t="s">
        <v>1055</v>
      </c>
      <c r="B611" s="1">
        <v>45864</v>
      </c>
      <c r="C611" t="s">
        <v>627</v>
      </c>
      <c r="D611" t="s">
        <v>18</v>
      </c>
      <c r="E611" t="s">
        <v>29</v>
      </c>
      <c r="F611" t="s">
        <v>68</v>
      </c>
      <c r="G611">
        <v>1</v>
      </c>
      <c r="H611" s="2">
        <v>40.85</v>
      </c>
      <c r="I611" s="3">
        <v>0.15</v>
      </c>
      <c r="J611" s="2">
        <v>34.72</v>
      </c>
      <c r="K611" t="s">
        <v>56</v>
      </c>
    </row>
    <row r="612" spans="1:11">
      <c r="A612" t="s">
        <v>1056</v>
      </c>
      <c r="B612" s="1">
        <v>45808</v>
      </c>
      <c r="C612" t="s">
        <v>977</v>
      </c>
      <c r="D612" t="s">
        <v>26</v>
      </c>
      <c r="E612" t="s">
        <v>25</v>
      </c>
      <c r="F612" t="s">
        <v>36</v>
      </c>
      <c r="G612">
        <v>3</v>
      </c>
      <c r="H612" s="2">
        <v>99.23</v>
      </c>
      <c r="I612" s="3">
        <v>0.05</v>
      </c>
      <c r="J612" s="2">
        <v>282.81</v>
      </c>
      <c r="K612" t="s">
        <v>56</v>
      </c>
    </row>
    <row r="613" spans="1:11">
      <c r="A613" t="s">
        <v>1057</v>
      </c>
      <c r="B613" s="1">
        <v>45884</v>
      </c>
      <c r="C613" t="s">
        <v>1058</v>
      </c>
      <c r="D613" t="s">
        <v>30</v>
      </c>
      <c r="E613" t="s">
        <v>25</v>
      </c>
      <c r="F613" t="s">
        <v>38</v>
      </c>
      <c r="G613">
        <v>2</v>
      </c>
      <c r="H613" s="2">
        <v>131.38999999999999</v>
      </c>
      <c r="I613" s="3">
        <v>0.05</v>
      </c>
      <c r="J613" s="2">
        <v>249.64</v>
      </c>
      <c r="K613" t="s">
        <v>56</v>
      </c>
    </row>
    <row r="614" spans="1:11">
      <c r="A614" t="s">
        <v>1059</v>
      </c>
      <c r="B614" s="1">
        <v>45672</v>
      </c>
      <c r="C614" t="s">
        <v>110</v>
      </c>
      <c r="D614" t="s">
        <v>26</v>
      </c>
      <c r="E614" t="s">
        <v>21</v>
      </c>
      <c r="F614" t="s">
        <v>40</v>
      </c>
      <c r="G614">
        <v>1</v>
      </c>
      <c r="H614" s="2">
        <v>42.74</v>
      </c>
      <c r="I614" s="3">
        <v>0</v>
      </c>
      <c r="J614" s="2">
        <v>42.74</v>
      </c>
      <c r="K614" t="s">
        <v>61</v>
      </c>
    </row>
    <row r="615" spans="1:11">
      <c r="A615" t="s">
        <v>1060</v>
      </c>
      <c r="B615" s="1">
        <v>45838</v>
      </c>
      <c r="C615" t="s">
        <v>567</v>
      </c>
      <c r="D615" t="s">
        <v>26</v>
      </c>
      <c r="E615" t="s">
        <v>21</v>
      </c>
      <c r="F615" t="s">
        <v>71</v>
      </c>
      <c r="G615">
        <v>1</v>
      </c>
      <c r="H615" s="2">
        <v>74.61</v>
      </c>
      <c r="I615" s="3">
        <v>0.05</v>
      </c>
      <c r="J615" s="2">
        <v>70.88</v>
      </c>
      <c r="K615" t="s">
        <v>79</v>
      </c>
    </row>
    <row r="616" spans="1:11">
      <c r="A616" t="s">
        <v>1061</v>
      </c>
      <c r="B616" s="1">
        <v>45862</v>
      </c>
      <c r="C616" t="s">
        <v>166</v>
      </c>
      <c r="D616" t="s">
        <v>30</v>
      </c>
      <c r="E616" t="s">
        <v>29</v>
      </c>
      <c r="F616" t="s">
        <v>92</v>
      </c>
      <c r="G616">
        <v>2</v>
      </c>
      <c r="H616" s="2">
        <v>52.96</v>
      </c>
      <c r="I616" s="3">
        <v>0.15</v>
      </c>
      <c r="J616" s="2">
        <v>90.03</v>
      </c>
      <c r="K616" t="s">
        <v>61</v>
      </c>
    </row>
    <row r="617" spans="1:11">
      <c r="A617" t="s">
        <v>1062</v>
      </c>
      <c r="B617" s="1">
        <v>45839</v>
      </c>
      <c r="C617" t="s">
        <v>280</v>
      </c>
      <c r="D617" t="s">
        <v>22</v>
      </c>
      <c r="E617" t="s">
        <v>33</v>
      </c>
      <c r="F617" t="s">
        <v>31</v>
      </c>
      <c r="G617">
        <v>3</v>
      </c>
      <c r="H617" s="2">
        <v>69.47</v>
      </c>
      <c r="I617" s="3">
        <v>0</v>
      </c>
      <c r="J617" s="2">
        <v>208.41</v>
      </c>
      <c r="K617" t="s">
        <v>79</v>
      </c>
    </row>
    <row r="618" spans="1:11">
      <c r="A618" t="s">
        <v>1063</v>
      </c>
      <c r="B618" s="1">
        <v>45781</v>
      </c>
      <c r="C618" t="s">
        <v>644</v>
      </c>
      <c r="D618" t="s">
        <v>22</v>
      </c>
      <c r="E618" t="s">
        <v>33</v>
      </c>
      <c r="F618" t="s">
        <v>34</v>
      </c>
      <c r="G618">
        <v>1</v>
      </c>
      <c r="H618" s="2">
        <v>26.59</v>
      </c>
      <c r="I618" s="3">
        <v>0</v>
      </c>
      <c r="J618" s="2">
        <v>26.59</v>
      </c>
      <c r="K618" t="s">
        <v>79</v>
      </c>
    </row>
    <row r="619" spans="1:11">
      <c r="A619" t="s">
        <v>1064</v>
      </c>
      <c r="B619" s="1">
        <v>45719</v>
      </c>
      <c r="C619" t="s">
        <v>378</v>
      </c>
      <c r="D619" t="s">
        <v>18</v>
      </c>
      <c r="E619" t="s">
        <v>17</v>
      </c>
      <c r="F619" t="s">
        <v>23</v>
      </c>
      <c r="G619">
        <v>2</v>
      </c>
      <c r="H619" s="2">
        <v>137.88999999999999</v>
      </c>
      <c r="I619" s="3">
        <v>0.15</v>
      </c>
      <c r="J619" s="2">
        <v>234.41</v>
      </c>
      <c r="K619" t="s">
        <v>61</v>
      </c>
    </row>
    <row r="620" spans="1:11">
      <c r="A620" t="s">
        <v>1065</v>
      </c>
      <c r="B620" s="1">
        <v>45848</v>
      </c>
      <c r="C620" t="s">
        <v>625</v>
      </c>
      <c r="D620" t="s">
        <v>30</v>
      </c>
      <c r="E620" t="s">
        <v>29</v>
      </c>
      <c r="F620" t="s">
        <v>68</v>
      </c>
      <c r="G620">
        <v>1</v>
      </c>
      <c r="H620" s="2">
        <v>51.59</v>
      </c>
      <c r="I620" s="3">
        <v>0.15</v>
      </c>
      <c r="J620" s="2">
        <v>43.85</v>
      </c>
      <c r="K620" t="s">
        <v>79</v>
      </c>
    </row>
    <row r="621" spans="1:11">
      <c r="A621" t="s">
        <v>1066</v>
      </c>
      <c r="B621" s="1">
        <v>45919</v>
      </c>
      <c r="C621" t="s">
        <v>927</v>
      </c>
      <c r="D621" t="s">
        <v>30</v>
      </c>
      <c r="E621" t="s">
        <v>33</v>
      </c>
      <c r="F621" t="s">
        <v>34</v>
      </c>
      <c r="G621">
        <v>1</v>
      </c>
      <c r="H621" s="2">
        <v>31.83</v>
      </c>
      <c r="I621" s="3">
        <v>0</v>
      </c>
      <c r="J621" s="2">
        <v>31.83</v>
      </c>
      <c r="K621" t="s">
        <v>61</v>
      </c>
    </row>
    <row r="622" spans="1:11">
      <c r="A622" t="s">
        <v>1067</v>
      </c>
      <c r="B622" s="1">
        <v>45934</v>
      </c>
      <c r="C622" t="s">
        <v>451</v>
      </c>
      <c r="D622" t="s">
        <v>18</v>
      </c>
      <c r="E622" t="s">
        <v>17</v>
      </c>
      <c r="F622" t="s">
        <v>19</v>
      </c>
      <c r="G622">
        <v>1</v>
      </c>
      <c r="H622" s="2">
        <v>77.41</v>
      </c>
      <c r="I622" s="3">
        <v>0</v>
      </c>
      <c r="J622" s="2">
        <v>77.41</v>
      </c>
      <c r="K622" t="s">
        <v>56</v>
      </c>
    </row>
    <row r="623" spans="1:11">
      <c r="A623" t="s">
        <v>1068</v>
      </c>
      <c r="B623" s="1">
        <v>45923</v>
      </c>
      <c r="C623" t="s">
        <v>126</v>
      </c>
      <c r="D623" t="s">
        <v>18</v>
      </c>
      <c r="E623" t="s">
        <v>21</v>
      </c>
      <c r="F623" t="s">
        <v>40</v>
      </c>
      <c r="G623">
        <v>1</v>
      </c>
      <c r="H623" s="2">
        <v>41.79</v>
      </c>
      <c r="I623" s="3">
        <v>0</v>
      </c>
      <c r="J623" s="2">
        <v>41.79</v>
      </c>
      <c r="K623" t="s">
        <v>61</v>
      </c>
    </row>
    <row r="624" spans="1:11">
      <c r="A624" t="s">
        <v>1069</v>
      </c>
      <c r="B624" s="1">
        <v>45843</v>
      </c>
      <c r="C624" t="s">
        <v>596</v>
      </c>
      <c r="D624" t="s">
        <v>26</v>
      </c>
      <c r="E624" t="s">
        <v>29</v>
      </c>
      <c r="F624" t="s">
        <v>68</v>
      </c>
      <c r="G624">
        <v>3</v>
      </c>
      <c r="H624" s="2">
        <v>41.03</v>
      </c>
      <c r="I624" s="3">
        <v>0.05</v>
      </c>
      <c r="J624" s="2">
        <v>116.94</v>
      </c>
      <c r="K624" t="s">
        <v>61</v>
      </c>
    </row>
    <row r="625" spans="1:11">
      <c r="A625" t="s">
        <v>1070</v>
      </c>
      <c r="B625" s="1">
        <v>45971</v>
      </c>
      <c r="C625" t="s">
        <v>60</v>
      </c>
      <c r="D625" t="s">
        <v>26</v>
      </c>
      <c r="E625" t="s">
        <v>25</v>
      </c>
      <c r="F625" t="s">
        <v>36</v>
      </c>
      <c r="G625">
        <v>1</v>
      </c>
      <c r="H625" s="2">
        <v>90.3</v>
      </c>
      <c r="I625" s="3">
        <v>0</v>
      </c>
      <c r="J625" s="2">
        <v>90.3</v>
      </c>
      <c r="K625" t="s">
        <v>61</v>
      </c>
    </row>
    <row r="626" spans="1:11">
      <c r="A626" t="s">
        <v>1071</v>
      </c>
      <c r="B626" s="1">
        <v>45863</v>
      </c>
      <c r="C626" t="s">
        <v>1072</v>
      </c>
      <c r="D626" t="s">
        <v>18</v>
      </c>
      <c r="E626" t="s">
        <v>33</v>
      </c>
      <c r="F626" t="s">
        <v>34</v>
      </c>
      <c r="G626">
        <v>1</v>
      </c>
      <c r="H626" s="2">
        <v>30.12</v>
      </c>
      <c r="I626" s="3">
        <v>0.15</v>
      </c>
      <c r="J626" s="2">
        <v>25.6</v>
      </c>
      <c r="K626" t="s">
        <v>56</v>
      </c>
    </row>
    <row r="627" spans="1:11">
      <c r="A627" t="s">
        <v>1073</v>
      </c>
      <c r="B627" s="1">
        <v>45796</v>
      </c>
      <c r="C627" t="s">
        <v>548</v>
      </c>
      <c r="D627" t="s">
        <v>22</v>
      </c>
      <c r="E627" t="s">
        <v>33</v>
      </c>
      <c r="F627" t="s">
        <v>31</v>
      </c>
      <c r="G627">
        <v>2</v>
      </c>
      <c r="H627" s="2">
        <v>83.81</v>
      </c>
      <c r="I627" s="3">
        <v>0</v>
      </c>
      <c r="J627" s="2">
        <v>167.62</v>
      </c>
      <c r="K627" t="s">
        <v>61</v>
      </c>
    </row>
    <row r="628" spans="1:11">
      <c r="A628" t="s">
        <v>1074</v>
      </c>
      <c r="B628" s="1">
        <v>45662</v>
      </c>
      <c r="C628" t="s">
        <v>953</v>
      </c>
      <c r="D628" t="s">
        <v>26</v>
      </c>
      <c r="E628" t="s">
        <v>17</v>
      </c>
      <c r="F628" t="s">
        <v>27</v>
      </c>
      <c r="G628">
        <v>1</v>
      </c>
      <c r="H628" s="2">
        <v>52.77</v>
      </c>
      <c r="I628" s="3">
        <v>0.15</v>
      </c>
      <c r="J628" s="2">
        <v>44.85</v>
      </c>
      <c r="K628" t="s">
        <v>61</v>
      </c>
    </row>
    <row r="629" spans="1:11">
      <c r="A629" t="s">
        <v>1075</v>
      </c>
      <c r="B629" s="1">
        <v>45811</v>
      </c>
      <c r="C629" t="s">
        <v>362</v>
      </c>
      <c r="D629" t="s">
        <v>22</v>
      </c>
      <c r="E629" t="s">
        <v>33</v>
      </c>
      <c r="F629" t="s">
        <v>34</v>
      </c>
      <c r="G629">
        <v>2</v>
      </c>
      <c r="H629" s="2">
        <v>30.08</v>
      </c>
      <c r="I629" s="3">
        <v>0.1</v>
      </c>
      <c r="J629" s="2">
        <v>54.14</v>
      </c>
      <c r="K629" t="s">
        <v>79</v>
      </c>
    </row>
    <row r="630" spans="1:11">
      <c r="A630" t="s">
        <v>1076</v>
      </c>
      <c r="B630" s="1">
        <v>45768</v>
      </c>
      <c r="C630" t="s">
        <v>1077</v>
      </c>
      <c r="D630" t="s">
        <v>26</v>
      </c>
      <c r="E630" t="s">
        <v>33</v>
      </c>
      <c r="F630" t="s">
        <v>34</v>
      </c>
      <c r="G630">
        <v>1</v>
      </c>
      <c r="H630" s="2">
        <v>30.68</v>
      </c>
      <c r="I630" s="3">
        <v>0.1</v>
      </c>
      <c r="J630" s="2">
        <v>27.61</v>
      </c>
      <c r="K630" t="s">
        <v>61</v>
      </c>
    </row>
    <row r="631" spans="1:11">
      <c r="A631" t="s">
        <v>1078</v>
      </c>
      <c r="B631" s="1">
        <v>45842</v>
      </c>
      <c r="C631" t="s">
        <v>804</v>
      </c>
      <c r="D631" t="s">
        <v>30</v>
      </c>
      <c r="E631" t="s">
        <v>21</v>
      </c>
      <c r="F631" t="s">
        <v>71</v>
      </c>
      <c r="G631">
        <v>2</v>
      </c>
      <c r="H631" s="2">
        <v>77.09</v>
      </c>
      <c r="I631" s="3">
        <v>0.05</v>
      </c>
      <c r="J631" s="2">
        <v>146.47</v>
      </c>
      <c r="K631" t="s">
        <v>79</v>
      </c>
    </row>
    <row r="632" spans="1:11">
      <c r="A632" t="s">
        <v>1079</v>
      </c>
      <c r="B632" s="1">
        <v>45837</v>
      </c>
      <c r="C632" t="s">
        <v>203</v>
      </c>
      <c r="D632" t="s">
        <v>22</v>
      </c>
      <c r="E632" t="s">
        <v>29</v>
      </c>
      <c r="F632" t="s">
        <v>92</v>
      </c>
      <c r="G632">
        <v>4</v>
      </c>
      <c r="H632" s="2">
        <v>50.36</v>
      </c>
      <c r="I632" s="3">
        <v>0.15</v>
      </c>
      <c r="J632" s="2">
        <v>171.22</v>
      </c>
      <c r="K632" t="s">
        <v>61</v>
      </c>
    </row>
    <row r="633" spans="1:11">
      <c r="A633" t="s">
        <v>1080</v>
      </c>
      <c r="B633" s="1">
        <v>45839</v>
      </c>
      <c r="C633" t="s">
        <v>843</v>
      </c>
      <c r="D633" t="s">
        <v>30</v>
      </c>
      <c r="E633" t="s">
        <v>25</v>
      </c>
      <c r="F633" t="s">
        <v>36</v>
      </c>
      <c r="G633">
        <v>2</v>
      </c>
      <c r="H633" s="2">
        <v>89.97</v>
      </c>
      <c r="I633" s="3">
        <v>0.1</v>
      </c>
      <c r="J633" s="2">
        <v>161.94999999999999</v>
      </c>
      <c r="K633" t="s">
        <v>56</v>
      </c>
    </row>
    <row r="634" spans="1:11">
      <c r="A634" t="s">
        <v>1081</v>
      </c>
      <c r="B634" s="1">
        <v>45804</v>
      </c>
      <c r="C634" t="s">
        <v>505</v>
      </c>
      <c r="D634" t="s">
        <v>30</v>
      </c>
      <c r="E634" t="s">
        <v>21</v>
      </c>
      <c r="F634" t="s">
        <v>40</v>
      </c>
      <c r="G634">
        <v>2</v>
      </c>
      <c r="H634" s="2">
        <v>43.99</v>
      </c>
      <c r="I634" s="3">
        <v>0</v>
      </c>
      <c r="J634" s="2">
        <v>87.98</v>
      </c>
      <c r="K634" t="s">
        <v>56</v>
      </c>
    </row>
    <row r="635" spans="1:11">
      <c r="A635" t="s">
        <v>1082</v>
      </c>
      <c r="B635" s="1">
        <v>45971</v>
      </c>
      <c r="C635" t="s">
        <v>150</v>
      </c>
      <c r="D635" t="s">
        <v>26</v>
      </c>
      <c r="E635" t="s">
        <v>29</v>
      </c>
      <c r="F635" t="s">
        <v>68</v>
      </c>
      <c r="G635">
        <v>1</v>
      </c>
      <c r="H635" s="2">
        <v>51.72</v>
      </c>
      <c r="I635" s="3">
        <v>0</v>
      </c>
      <c r="J635" s="2">
        <v>51.72</v>
      </c>
      <c r="K635" t="s">
        <v>79</v>
      </c>
    </row>
    <row r="636" spans="1:11">
      <c r="A636" t="s">
        <v>1083</v>
      </c>
      <c r="B636" s="1">
        <v>45818</v>
      </c>
      <c r="C636" t="s">
        <v>789</v>
      </c>
      <c r="D636" t="s">
        <v>26</v>
      </c>
      <c r="E636" t="s">
        <v>25</v>
      </c>
      <c r="F636" t="s">
        <v>36</v>
      </c>
      <c r="G636">
        <v>2</v>
      </c>
      <c r="H636" s="2">
        <v>96.52</v>
      </c>
      <c r="I636" s="3">
        <v>0.15</v>
      </c>
      <c r="J636" s="2">
        <v>164.08</v>
      </c>
      <c r="K636" t="s">
        <v>61</v>
      </c>
    </row>
    <row r="637" spans="1:11">
      <c r="A637" t="s">
        <v>1084</v>
      </c>
      <c r="B637" s="1">
        <v>45843</v>
      </c>
      <c r="C637" t="s">
        <v>702</v>
      </c>
      <c r="D637" t="s">
        <v>22</v>
      </c>
      <c r="E637" t="s">
        <v>25</v>
      </c>
      <c r="F637" t="s">
        <v>78</v>
      </c>
      <c r="G637">
        <v>2</v>
      </c>
      <c r="H637" s="2">
        <v>45.58</v>
      </c>
      <c r="I637" s="3">
        <v>0.1</v>
      </c>
      <c r="J637" s="2">
        <v>82.04</v>
      </c>
      <c r="K637" t="s">
        <v>79</v>
      </c>
    </row>
    <row r="638" spans="1:11">
      <c r="A638" t="s">
        <v>1085</v>
      </c>
      <c r="B638" s="1">
        <v>45722</v>
      </c>
      <c r="C638" t="s">
        <v>507</v>
      </c>
      <c r="D638" t="s">
        <v>22</v>
      </c>
      <c r="E638" t="s">
        <v>25</v>
      </c>
      <c r="F638" t="s">
        <v>78</v>
      </c>
      <c r="G638">
        <v>1</v>
      </c>
      <c r="H638" s="2">
        <v>36.39</v>
      </c>
      <c r="I638" s="3">
        <v>0</v>
      </c>
      <c r="J638" s="2">
        <v>36.39</v>
      </c>
      <c r="K638" t="s">
        <v>61</v>
      </c>
    </row>
    <row r="639" spans="1:11">
      <c r="A639" t="s">
        <v>1086</v>
      </c>
      <c r="B639" s="1">
        <v>45710</v>
      </c>
      <c r="C639" t="s">
        <v>927</v>
      </c>
      <c r="D639" t="s">
        <v>18</v>
      </c>
      <c r="E639" t="s">
        <v>17</v>
      </c>
      <c r="F639" t="s">
        <v>23</v>
      </c>
      <c r="G639">
        <v>1</v>
      </c>
      <c r="H639" s="2">
        <v>147.06</v>
      </c>
      <c r="I639" s="3">
        <v>0.15</v>
      </c>
      <c r="J639" s="2">
        <v>125</v>
      </c>
      <c r="K639" t="s">
        <v>61</v>
      </c>
    </row>
    <row r="640" spans="1:11">
      <c r="A640" t="s">
        <v>1087</v>
      </c>
      <c r="B640" s="1">
        <v>45926</v>
      </c>
      <c r="C640" t="s">
        <v>1088</v>
      </c>
      <c r="D640" t="s">
        <v>26</v>
      </c>
      <c r="E640" t="s">
        <v>17</v>
      </c>
      <c r="F640" t="s">
        <v>23</v>
      </c>
      <c r="G640">
        <v>1</v>
      </c>
      <c r="H640" s="2">
        <v>135.96</v>
      </c>
      <c r="I640" s="3">
        <v>0</v>
      </c>
      <c r="J640" s="2">
        <v>135.96</v>
      </c>
      <c r="K640" t="s">
        <v>79</v>
      </c>
    </row>
    <row r="641" spans="1:11">
      <c r="A641" t="s">
        <v>1089</v>
      </c>
      <c r="B641" s="1">
        <v>45784</v>
      </c>
      <c r="C641" t="s">
        <v>387</v>
      </c>
      <c r="D641" t="s">
        <v>22</v>
      </c>
      <c r="E641" t="s">
        <v>25</v>
      </c>
      <c r="F641" t="s">
        <v>78</v>
      </c>
      <c r="G641">
        <v>1</v>
      </c>
      <c r="H641" s="2">
        <v>41.21</v>
      </c>
      <c r="I641" s="3">
        <v>0</v>
      </c>
      <c r="J641" s="2">
        <v>41.21</v>
      </c>
      <c r="K641" t="s">
        <v>79</v>
      </c>
    </row>
    <row r="642" spans="1:11">
      <c r="A642" t="s">
        <v>1090</v>
      </c>
      <c r="B642" s="1">
        <v>45675</v>
      </c>
      <c r="C642" t="s">
        <v>1091</v>
      </c>
      <c r="D642" t="s">
        <v>26</v>
      </c>
      <c r="E642" t="s">
        <v>29</v>
      </c>
      <c r="F642" t="s">
        <v>92</v>
      </c>
      <c r="G642">
        <v>1</v>
      </c>
      <c r="H642" s="2">
        <v>63.36</v>
      </c>
      <c r="I642" s="3">
        <v>0.1</v>
      </c>
      <c r="J642" s="2">
        <v>57.02</v>
      </c>
      <c r="K642" t="s">
        <v>56</v>
      </c>
    </row>
    <row r="643" spans="1:11">
      <c r="A643" t="s">
        <v>1092</v>
      </c>
      <c r="B643" s="1">
        <v>45885</v>
      </c>
      <c r="C643" t="s">
        <v>190</v>
      </c>
      <c r="D643" t="s">
        <v>30</v>
      </c>
      <c r="E643" t="s">
        <v>17</v>
      </c>
      <c r="F643" t="s">
        <v>27</v>
      </c>
      <c r="G643">
        <v>4</v>
      </c>
      <c r="H643" s="2">
        <v>63.73</v>
      </c>
      <c r="I643" s="3">
        <v>0</v>
      </c>
      <c r="J643" s="2">
        <v>254.92</v>
      </c>
      <c r="K643" t="s">
        <v>56</v>
      </c>
    </row>
    <row r="644" spans="1:11">
      <c r="A644" t="s">
        <v>1093</v>
      </c>
      <c r="B644" s="1">
        <v>45985</v>
      </c>
      <c r="C644" t="s">
        <v>327</v>
      </c>
      <c r="D644" t="s">
        <v>22</v>
      </c>
      <c r="E644" t="s">
        <v>29</v>
      </c>
      <c r="F644" t="s">
        <v>92</v>
      </c>
      <c r="G644">
        <v>1</v>
      </c>
      <c r="H644" s="2">
        <v>63.25</v>
      </c>
      <c r="I644" s="3">
        <v>0.1</v>
      </c>
      <c r="J644" s="2">
        <v>56.93</v>
      </c>
      <c r="K644" t="s">
        <v>79</v>
      </c>
    </row>
    <row r="645" spans="1:11">
      <c r="A645" t="s">
        <v>1094</v>
      </c>
      <c r="B645" s="1">
        <v>45884</v>
      </c>
      <c r="C645" t="s">
        <v>1095</v>
      </c>
      <c r="D645" t="s">
        <v>18</v>
      </c>
      <c r="E645" t="s">
        <v>33</v>
      </c>
      <c r="F645" t="s">
        <v>34</v>
      </c>
      <c r="G645">
        <v>1</v>
      </c>
      <c r="H645" s="2">
        <v>27.14</v>
      </c>
      <c r="I645" s="3">
        <v>0.05</v>
      </c>
      <c r="J645" s="2">
        <v>25.78</v>
      </c>
      <c r="K645" t="s">
        <v>56</v>
      </c>
    </row>
    <row r="646" spans="1:11">
      <c r="A646" t="s">
        <v>1096</v>
      </c>
      <c r="B646" s="1">
        <v>45727</v>
      </c>
      <c r="C646" t="s">
        <v>894</v>
      </c>
      <c r="D646" t="s">
        <v>26</v>
      </c>
      <c r="E646" t="s">
        <v>25</v>
      </c>
      <c r="F646" t="s">
        <v>36</v>
      </c>
      <c r="G646">
        <v>1</v>
      </c>
      <c r="H646" s="2">
        <v>91.37</v>
      </c>
      <c r="I646" s="3">
        <v>0.1</v>
      </c>
      <c r="J646" s="2">
        <v>82.23</v>
      </c>
      <c r="K646" t="s">
        <v>79</v>
      </c>
    </row>
    <row r="647" spans="1:11">
      <c r="A647" t="s">
        <v>1097</v>
      </c>
      <c r="B647" s="1">
        <v>45878</v>
      </c>
      <c r="C647" t="s">
        <v>989</v>
      </c>
      <c r="D647" t="s">
        <v>22</v>
      </c>
      <c r="E647" t="s">
        <v>33</v>
      </c>
      <c r="F647" t="s">
        <v>34</v>
      </c>
      <c r="G647">
        <v>2</v>
      </c>
      <c r="H647" s="2">
        <v>32.28</v>
      </c>
      <c r="I647" s="3">
        <v>0.15</v>
      </c>
      <c r="J647" s="2">
        <v>54.88</v>
      </c>
      <c r="K647" t="s">
        <v>61</v>
      </c>
    </row>
    <row r="648" spans="1:11">
      <c r="A648" t="s">
        <v>1098</v>
      </c>
      <c r="B648" s="1">
        <v>45945</v>
      </c>
      <c r="C648" t="s">
        <v>1099</v>
      </c>
      <c r="D648" t="s">
        <v>22</v>
      </c>
      <c r="E648" t="s">
        <v>25</v>
      </c>
      <c r="F648" t="s">
        <v>38</v>
      </c>
      <c r="G648">
        <v>1</v>
      </c>
      <c r="H648" s="2">
        <v>107.56</v>
      </c>
      <c r="I648" s="3">
        <v>0.1</v>
      </c>
      <c r="J648" s="2">
        <v>96.8</v>
      </c>
      <c r="K648" t="s">
        <v>61</v>
      </c>
    </row>
    <row r="649" spans="1:11">
      <c r="A649" t="s">
        <v>1100</v>
      </c>
      <c r="B649" s="1">
        <v>45698</v>
      </c>
      <c r="C649" t="s">
        <v>383</v>
      </c>
      <c r="D649" t="s">
        <v>26</v>
      </c>
      <c r="E649" t="s">
        <v>25</v>
      </c>
      <c r="F649" t="s">
        <v>38</v>
      </c>
      <c r="G649">
        <v>2</v>
      </c>
      <c r="H649" s="2">
        <v>121.44</v>
      </c>
      <c r="I649" s="3">
        <v>0.15</v>
      </c>
      <c r="J649" s="2">
        <v>206.45</v>
      </c>
      <c r="K649" t="s">
        <v>56</v>
      </c>
    </row>
    <row r="650" spans="1:11">
      <c r="A650" t="s">
        <v>1101</v>
      </c>
      <c r="B650" s="1">
        <v>45930</v>
      </c>
      <c r="C650" t="s">
        <v>1102</v>
      </c>
      <c r="D650" t="s">
        <v>26</v>
      </c>
      <c r="E650" t="s">
        <v>33</v>
      </c>
      <c r="F650" t="s">
        <v>34</v>
      </c>
      <c r="G650">
        <v>1</v>
      </c>
      <c r="H650" s="2">
        <v>32.82</v>
      </c>
      <c r="I650" s="3">
        <v>0</v>
      </c>
      <c r="J650" s="2">
        <v>32.82</v>
      </c>
      <c r="K650" t="s">
        <v>79</v>
      </c>
    </row>
    <row r="651" spans="1:11">
      <c r="A651" t="s">
        <v>1103</v>
      </c>
      <c r="B651" s="1">
        <v>45984</v>
      </c>
      <c r="C651" t="s">
        <v>1104</v>
      </c>
      <c r="D651" t="s">
        <v>22</v>
      </c>
      <c r="E651" t="s">
        <v>21</v>
      </c>
      <c r="F651" t="s">
        <v>40</v>
      </c>
      <c r="G651">
        <v>2</v>
      </c>
      <c r="H651" s="2">
        <v>46.05</v>
      </c>
      <c r="I651" s="3">
        <v>0.15</v>
      </c>
      <c r="J651" s="2">
        <v>78.28</v>
      </c>
      <c r="K651" t="s">
        <v>61</v>
      </c>
    </row>
    <row r="652" spans="1:11">
      <c r="A652" t="s">
        <v>1105</v>
      </c>
      <c r="B652" s="1">
        <v>45667</v>
      </c>
      <c r="C652" t="s">
        <v>1106</v>
      </c>
      <c r="D652" t="s">
        <v>26</v>
      </c>
      <c r="E652" t="s">
        <v>17</v>
      </c>
      <c r="F652" t="s">
        <v>27</v>
      </c>
      <c r="G652">
        <v>1</v>
      </c>
      <c r="H652" s="2">
        <v>60.57</v>
      </c>
      <c r="I652" s="3">
        <v>0</v>
      </c>
      <c r="J652" s="2">
        <v>60.57</v>
      </c>
      <c r="K652" t="s">
        <v>61</v>
      </c>
    </row>
    <row r="653" spans="1:11">
      <c r="A653" t="s">
        <v>1107</v>
      </c>
      <c r="B653" s="1">
        <v>45722</v>
      </c>
      <c r="C653" t="s">
        <v>408</v>
      </c>
      <c r="D653" t="s">
        <v>18</v>
      </c>
      <c r="E653" t="s">
        <v>25</v>
      </c>
      <c r="F653" t="s">
        <v>78</v>
      </c>
      <c r="G653">
        <v>1</v>
      </c>
      <c r="H653" s="2">
        <v>33.26</v>
      </c>
      <c r="I653" s="3">
        <v>0</v>
      </c>
      <c r="J653" s="2">
        <v>33.26</v>
      </c>
      <c r="K653" t="s">
        <v>61</v>
      </c>
    </row>
    <row r="654" spans="1:11">
      <c r="A654" t="s">
        <v>1108</v>
      </c>
      <c r="B654" s="1">
        <v>45769</v>
      </c>
      <c r="C654" t="s">
        <v>438</v>
      </c>
      <c r="D654" t="s">
        <v>30</v>
      </c>
      <c r="E654" t="s">
        <v>25</v>
      </c>
      <c r="F654" t="s">
        <v>36</v>
      </c>
      <c r="G654">
        <v>1</v>
      </c>
      <c r="H654" s="2">
        <v>98.73</v>
      </c>
      <c r="I654" s="3">
        <v>0.1</v>
      </c>
      <c r="J654" s="2">
        <v>88.86</v>
      </c>
      <c r="K654" t="s">
        <v>56</v>
      </c>
    </row>
    <row r="655" spans="1:11">
      <c r="A655" t="s">
        <v>1109</v>
      </c>
      <c r="B655" s="1">
        <v>45674</v>
      </c>
      <c r="C655" t="s">
        <v>410</v>
      </c>
      <c r="D655" t="s">
        <v>26</v>
      </c>
      <c r="E655" t="s">
        <v>25</v>
      </c>
      <c r="F655" t="s">
        <v>36</v>
      </c>
      <c r="G655">
        <v>1</v>
      </c>
      <c r="H655" s="2">
        <v>97.69</v>
      </c>
      <c r="I655" s="3">
        <v>0</v>
      </c>
      <c r="J655" s="2">
        <v>97.69</v>
      </c>
      <c r="K655" t="s">
        <v>61</v>
      </c>
    </row>
    <row r="656" spans="1:11">
      <c r="A656" t="s">
        <v>1110</v>
      </c>
      <c r="B656" s="1">
        <v>45694</v>
      </c>
      <c r="C656" t="s">
        <v>599</v>
      </c>
      <c r="D656" t="s">
        <v>18</v>
      </c>
      <c r="E656" t="s">
        <v>21</v>
      </c>
      <c r="F656" t="s">
        <v>71</v>
      </c>
      <c r="G656">
        <v>1</v>
      </c>
      <c r="H656" s="2">
        <v>63.03</v>
      </c>
      <c r="I656" s="3">
        <v>0.05</v>
      </c>
      <c r="J656" s="2">
        <v>59.88</v>
      </c>
      <c r="K656" t="s">
        <v>79</v>
      </c>
    </row>
    <row r="657" spans="1:11">
      <c r="A657" t="s">
        <v>1111</v>
      </c>
      <c r="B657" s="1">
        <v>45785</v>
      </c>
      <c r="C657" t="s">
        <v>98</v>
      </c>
      <c r="D657" t="s">
        <v>30</v>
      </c>
      <c r="E657" t="s">
        <v>25</v>
      </c>
      <c r="F657" t="s">
        <v>38</v>
      </c>
      <c r="G657">
        <v>2</v>
      </c>
      <c r="H657" s="2">
        <v>118.55</v>
      </c>
      <c r="I657" s="3">
        <v>0</v>
      </c>
      <c r="J657" s="2">
        <v>237.1</v>
      </c>
      <c r="K657" t="s">
        <v>56</v>
      </c>
    </row>
    <row r="658" spans="1:11">
      <c r="A658" t="s">
        <v>1112</v>
      </c>
      <c r="B658" s="1">
        <v>45706</v>
      </c>
      <c r="C658" t="s">
        <v>897</v>
      </c>
      <c r="D658" t="s">
        <v>26</v>
      </c>
      <c r="E658" t="s">
        <v>21</v>
      </c>
      <c r="F658" t="s">
        <v>71</v>
      </c>
      <c r="G658">
        <v>2</v>
      </c>
      <c r="H658" s="2">
        <v>63.4</v>
      </c>
      <c r="I658" s="3">
        <v>0.1</v>
      </c>
      <c r="J658" s="2">
        <v>114.12</v>
      </c>
      <c r="K658" t="s">
        <v>79</v>
      </c>
    </row>
    <row r="659" spans="1:11">
      <c r="A659" t="s">
        <v>1113</v>
      </c>
      <c r="B659" s="1">
        <v>45980</v>
      </c>
      <c r="C659" t="s">
        <v>1114</v>
      </c>
      <c r="D659" t="s">
        <v>26</v>
      </c>
      <c r="E659" t="s">
        <v>25</v>
      </c>
      <c r="F659" t="s">
        <v>78</v>
      </c>
      <c r="G659">
        <v>1</v>
      </c>
      <c r="H659" s="2">
        <v>45.21</v>
      </c>
      <c r="I659" s="3">
        <v>0.15</v>
      </c>
      <c r="J659" s="2">
        <v>38.43</v>
      </c>
      <c r="K659" t="s">
        <v>61</v>
      </c>
    </row>
    <row r="660" spans="1:11">
      <c r="A660" t="s">
        <v>1115</v>
      </c>
      <c r="B660" s="1">
        <v>45984</v>
      </c>
      <c r="C660" t="s">
        <v>705</v>
      </c>
      <c r="D660" t="s">
        <v>22</v>
      </c>
      <c r="E660" t="s">
        <v>33</v>
      </c>
      <c r="F660" t="s">
        <v>34</v>
      </c>
      <c r="G660">
        <v>1</v>
      </c>
      <c r="H660" s="2">
        <v>33.14</v>
      </c>
      <c r="I660" s="3">
        <v>0</v>
      </c>
      <c r="J660" s="2">
        <v>33.14</v>
      </c>
      <c r="K660" t="s">
        <v>56</v>
      </c>
    </row>
    <row r="661" spans="1:11">
      <c r="A661" t="s">
        <v>1116</v>
      </c>
      <c r="B661" s="1">
        <v>45880</v>
      </c>
      <c r="C661" t="s">
        <v>1117</v>
      </c>
      <c r="D661" t="s">
        <v>30</v>
      </c>
      <c r="E661" t="s">
        <v>25</v>
      </c>
      <c r="F661" t="s">
        <v>36</v>
      </c>
      <c r="G661">
        <v>1</v>
      </c>
      <c r="H661" s="2">
        <v>98.98</v>
      </c>
      <c r="I661" s="3">
        <v>0.15</v>
      </c>
      <c r="J661" s="2">
        <v>84.13</v>
      </c>
      <c r="K661" t="s">
        <v>79</v>
      </c>
    </row>
    <row r="662" spans="1:11">
      <c r="A662" t="s">
        <v>1118</v>
      </c>
      <c r="B662" s="1">
        <v>45662</v>
      </c>
      <c r="C662" t="s">
        <v>1119</v>
      </c>
      <c r="D662" t="s">
        <v>26</v>
      </c>
      <c r="E662" t="s">
        <v>17</v>
      </c>
      <c r="F662" t="s">
        <v>19</v>
      </c>
      <c r="G662">
        <v>2</v>
      </c>
      <c r="H662" s="2">
        <v>85.16</v>
      </c>
      <c r="I662" s="3">
        <v>0.15</v>
      </c>
      <c r="J662" s="2">
        <v>144.77000000000001</v>
      </c>
      <c r="K662" t="s">
        <v>79</v>
      </c>
    </row>
    <row r="663" spans="1:11">
      <c r="A663" t="s">
        <v>1120</v>
      </c>
      <c r="B663" s="1">
        <v>45785</v>
      </c>
      <c r="C663" t="s">
        <v>1121</v>
      </c>
      <c r="D663" t="s">
        <v>18</v>
      </c>
      <c r="E663" t="s">
        <v>17</v>
      </c>
      <c r="F663" t="s">
        <v>27</v>
      </c>
      <c r="G663">
        <v>1</v>
      </c>
      <c r="H663" s="2">
        <v>63.51</v>
      </c>
      <c r="I663" s="3">
        <v>0.05</v>
      </c>
      <c r="J663" s="2">
        <v>60.33</v>
      </c>
      <c r="K663" t="s">
        <v>61</v>
      </c>
    </row>
    <row r="664" spans="1:11">
      <c r="A664" t="s">
        <v>1122</v>
      </c>
      <c r="B664" s="1">
        <v>45988</v>
      </c>
      <c r="C664" t="s">
        <v>1123</v>
      </c>
      <c r="D664" t="s">
        <v>22</v>
      </c>
      <c r="E664" t="s">
        <v>17</v>
      </c>
      <c r="F664" t="s">
        <v>27</v>
      </c>
      <c r="G664">
        <v>2</v>
      </c>
      <c r="H664" s="2">
        <v>65.56</v>
      </c>
      <c r="I664" s="3">
        <v>0</v>
      </c>
      <c r="J664" s="2">
        <v>131.12</v>
      </c>
      <c r="K664" t="s">
        <v>61</v>
      </c>
    </row>
    <row r="665" spans="1:11">
      <c r="A665" t="s">
        <v>1124</v>
      </c>
      <c r="B665" s="1">
        <v>45943</v>
      </c>
      <c r="C665" t="s">
        <v>1125</v>
      </c>
      <c r="D665" t="s">
        <v>18</v>
      </c>
      <c r="E665" t="s">
        <v>29</v>
      </c>
      <c r="F665" t="s">
        <v>92</v>
      </c>
      <c r="G665">
        <v>2</v>
      </c>
      <c r="H665" s="2">
        <v>61.37</v>
      </c>
      <c r="I665" s="3">
        <v>0.1</v>
      </c>
      <c r="J665" s="2">
        <v>110.47</v>
      </c>
      <c r="K665" t="s">
        <v>56</v>
      </c>
    </row>
    <row r="666" spans="1:11">
      <c r="A666" t="s">
        <v>1126</v>
      </c>
      <c r="B666" s="1">
        <v>45851</v>
      </c>
      <c r="C666" t="s">
        <v>282</v>
      </c>
      <c r="D666" t="s">
        <v>30</v>
      </c>
      <c r="E666" t="s">
        <v>25</v>
      </c>
      <c r="F666" t="s">
        <v>36</v>
      </c>
      <c r="G666">
        <v>2</v>
      </c>
      <c r="H666" s="2">
        <v>83.01</v>
      </c>
      <c r="I666" s="3">
        <v>0</v>
      </c>
      <c r="J666" s="2">
        <v>166.02</v>
      </c>
      <c r="K666" t="s">
        <v>56</v>
      </c>
    </row>
    <row r="667" spans="1:11">
      <c r="A667" t="s">
        <v>1127</v>
      </c>
      <c r="B667" s="1">
        <v>45808</v>
      </c>
      <c r="C667" t="s">
        <v>672</v>
      </c>
      <c r="D667" t="s">
        <v>26</v>
      </c>
      <c r="E667" t="s">
        <v>21</v>
      </c>
      <c r="F667" t="s">
        <v>71</v>
      </c>
      <c r="G667">
        <v>2</v>
      </c>
      <c r="H667" s="2">
        <v>62.97</v>
      </c>
      <c r="I667" s="3">
        <v>0</v>
      </c>
      <c r="J667" s="2">
        <v>125.94</v>
      </c>
      <c r="K667" t="s">
        <v>61</v>
      </c>
    </row>
    <row r="668" spans="1:11">
      <c r="A668" t="s">
        <v>1128</v>
      </c>
      <c r="B668" s="1">
        <v>45897</v>
      </c>
      <c r="C668" t="s">
        <v>1129</v>
      </c>
      <c r="D668" t="s">
        <v>18</v>
      </c>
      <c r="E668" t="s">
        <v>33</v>
      </c>
      <c r="F668" t="s">
        <v>34</v>
      </c>
      <c r="G668">
        <v>3</v>
      </c>
      <c r="H668" s="2">
        <v>30.38</v>
      </c>
      <c r="I668" s="3">
        <v>0.15</v>
      </c>
      <c r="J668" s="2">
        <v>77.47</v>
      </c>
      <c r="K668" t="s">
        <v>56</v>
      </c>
    </row>
    <row r="669" spans="1:11">
      <c r="A669" t="s">
        <v>1130</v>
      </c>
      <c r="B669" s="1">
        <v>45737</v>
      </c>
      <c r="C669" t="s">
        <v>748</v>
      </c>
      <c r="D669" t="s">
        <v>18</v>
      </c>
      <c r="E669" t="s">
        <v>21</v>
      </c>
      <c r="F669" t="s">
        <v>40</v>
      </c>
      <c r="G669">
        <v>1</v>
      </c>
      <c r="H669" s="2">
        <v>45.91</v>
      </c>
      <c r="I669" s="3">
        <v>0.05</v>
      </c>
      <c r="J669" s="2">
        <v>43.61</v>
      </c>
      <c r="K669" t="s">
        <v>56</v>
      </c>
    </row>
    <row r="670" spans="1:11">
      <c r="A670" t="s">
        <v>1131</v>
      </c>
      <c r="B670" s="1">
        <v>45917</v>
      </c>
      <c r="C670" t="s">
        <v>1132</v>
      </c>
      <c r="D670" t="s">
        <v>22</v>
      </c>
      <c r="E670" t="s">
        <v>25</v>
      </c>
      <c r="F670" t="s">
        <v>38</v>
      </c>
      <c r="G670">
        <v>2</v>
      </c>
      <c r="H670" s="2">
        <v>135.82</v>
      </c>
      <c r="I670" s="3">
        <v>0.15</v>
      </c>
      <c r="J670" s="2">
        <v>230.89</v>
      </c>
      <c r="K670" t="s">
        <v>61</v>
      </c>
    </row>
    <row r="671" spans="1:11">
      <c r="A671" t="s">
        <v>1133</v>
      </c>
      <c r="B671" s="1">
        <v>45690</v>
      </c>
      <c r="C671" t="s">
        <v>620</v>
      </c>
      <c r="D671" t="s">
        <v>30</v>
      </c>
      <c r="E671" t="s">
        <v>29</v>
      </c>
      <c r="F671" t="s">
        <v>92</v>
      </c>
      <c r="G671">
        <v>4</v>
      </c>
      <c r="H671" s="2">
        <v>61.62</v>
      </c>
      <c r="I671" s="3">
        <v>0</v>
      </c>
      <c r="J671" s="2">
        <v>246.48</v>
      </c>
      <c r="K671" t="s">
        <v>56</v>
      </c>
    </row>
    <row r="672" spans="1:11">
      <c r="A672" t="s">
        <v>1134</v>
      </c>
      <c r="B672" s="1">
        <v>45736</v>
      </c>
      <c r="C672" t="s">
        <v>1135</v>
      </c>
      <c r="D672" t="s">
        <v>18</v>
      </c>
      <c r="E672" t="s">
        <v>29</v>
      </c>
      <c r="F672" t="s">
        <v>68</v>
      </c>
      <c r="G672">
        <v>1</v>
      </c>
      <c r="H672" s="2">
        <v>44.34</v>
      </c>
      <c r="I672" s="3">
        <v>0.05</v>
      </c>
      <c r="J672" s="2">
        <v>42.12</v>
      </c>
      <c r="K672" t="s">
        <v>56</v>
      </c>
    </row>
    <row r="673" spans="1:11">
      <c r="A673" t="s">
        <v>1136</v>
      </c>
      <c r="B673" s="1">
        <v>45995</v>
      </c>
      <c r="C673" t="s">
        <v>592</v>
      </c>
      <c r="D673" t="s">
        <v>22</v>
      </c>
      <c r="E673" t="s">
        <v>17</v>
      </c>
      <c r="F673" t="s">
        <v>23</v>
      </c>
      <c r="G673">
        <v>1</v>
      </c>
      <c r="H673" s="2">
        <v>149.57</v>
      </c>
      <c r="I673" s="3">
        <v>0</v>
      </c>
      <c r="J673" s="2">
        <v>149.57</v>
      </c>
      <c r="K673" t="s">
        <v>79</v>
      </c>
    </row>
    <row r="674" spans="1:11">
      <c r="A674" t="s">
        <v>1137</v>
      </c>
      <c r="B674" s="1">
        <v>45906</v>
      </c>
      <c r="C674" t="s">
        <v>692</v>
      </c>
      <c r="D674" t="s">
        <v>26</v>
      </c>
      <c r="E674" t="s">
        <v>33</v>
      </c>
      <c r="F674" t="s">
        <v>31</v>
      </c>
      <c r="G674">
        <v>1</v>
      </c>
      <c r="H674" s="2">
        <v>76.84</v>
      </c>
      <c r="I674" s="3">
        <v>0.1</v>
      </c>
      <c r="J674" s="2">
        <v>69.16</v>
      </c>
      <c r="K674" t="s">
        <v>79</v>
      </c>
    </row>
    <row r="675" spans="1:11">
      <c r="A675" t="s">
        <v>1138</v>
      </c>
      <c r="B675" s="1">
        <v>45845</v>
      </c>
      <c r="C675" t="s">
        <v>1104</v>
      </c>
      <c r="D675" t="s">
        <v>18</v>
      </c>
      <c r="E675" t="s">
        <v>33</v>
      </c>
      <c r="F675" t="s">
        <v>31</v>
      </c>
      <c r="G675">
        <v>2</v>
      </c>
      <c r="H675" s="2">
        <v>64.63</v>
      </c>
      <c r="I675" s="3">
        <v>0</v>
      </c>
      <c r="J675" s="2">
        <v>129.26</v>
      </c>
      <c r="K675" t="s">
        <v>61</v>
      </c>
    </row>
    <row r="676" spans="1:11">
      <c r="A676" t="s">
        <v>1139</v>
      </c>
      <c r="B676" s="1">
        <v>45985</v>
      </c>
      <c r="C676" t="s">
        <v>1140</v>
      </c>
      <c r="D676" t="s">
        <v>18</v>
      </c>
      <c r="E676" t="s">
        <v>17</v>
      </c>
      <c r="F676" t="s">
        <v>19</v>
      </c>
      <c r="G676">
        <v>1</v>
      </c>
      <c r="H676" s="2">
        <v>86.53</v>
      </c>
      <c r="I676" s="3">
        <v>0.1</v>
      </c>
      <c r="J676" s="2">
        <v>77.88</v>
      </c>
      <c r="K676" t="s">
        <v>56</v>
      </c>
    </row>
    <row r="677" spans="1:11">
      <c r="A677" t="s">
        <v>1141</v>
      </c>
      <c r="B677" s="1">
        <v>45794</v>
      </c>
      <c r="C677" t="s">
        <v>730</v>
      </c>
      <c r="D677" t="s">
        <v>22</v>
      </c>
      <c r="E677" t="s">
        <v>21</v>
      </c>
      <c r="F677" t="s">
        <v>71</v>
      </c>
      <c r="G677">
        <v>1</v>
      </c>
      <c r="H677" s="2">
        <v>60.25</v>
      </c>
      <c r="I677" s="3">
        <v>0.05</v>
      </c>
      <c r="J677" s="2">
        <v>57.24</v>
      </c>
      <c r="K677" t="s">
        <v>56</v>
      </c>
    </row>
    <row r="678" spans="1:11">
      <c r="A678" t="s">
        <v>1142</v>
      </c>
      <c r="B678" s="1">
        <v>45707</v>
      </c>
      <c r="C678" t="s">
        <v>1125</v>
      </c>
      <c r="D678" t="s">
        <v>22</v>
      </c>
      <c r="E678" t="s">
        <v>17</v>
      </c>
      <c r="F678" t="s">
        <v>23</v>
      </c>
      <c r="G678">
        <v>2</v>
      </c>
      <c r="H678" s="2">
        <v>132.28</v>
      </c>
      <c r="I678" s="3">
        <v>0</v>
      </c>
      <c r="J678" s="2">
        <v>264.56</v>
      </c>
      <c r="K678" t="s">
        <v>56</v>
      </c>
    </row>
    <row r="679" spans="1:11">
      <c r="A679" t="s">
        <v>1143</v>
      </c>
      <c r="B679" s="1">
        <v>45978</v>
      </c>
      <c r="C679" t="s">
        <v>1144</v>
      </c>
      <c r="D679" t="s">
        <v>26</v>
      </c>
      <c r="E679" t="s">
        <v>17</v>
      </c>
      <c r="F679" t="s">
        <v>27</v>
      </c>
      <c r="G679">
        <v>2</v>
      </c>
      <c r="H679" s="2">
        <v>61.02</v>
      </c>
      <c r="I679" s="3">
        <v>0</v>
      </c>
      <c r="J679" s="2">
        <v>122.04</v>
      </c>
      <c r="K679" t="s">
        <v>56</v>
      </c>
    </row>
    <row r="680" spans="1:11">
      <c r="A680" t="s">
        <v>1145</v>
      </c>
      <c r="B680" s="1">
        <v>45892</v>
      </c>
      <c r="C680" t="s">
        <v>428</v>
      </c>
      <c r="D680" t="s">
        <v>30</v>
      </c>
      <c r="E680" t="s">
        <v>25</v>
      </c>
      <c r="F680" t="s">
        <v>78</v>
      </c>
      <c r="G680">
        <v>2</v>
      </c>
      <c r="H680" s="2">
        <v>44.51</v>
      </c>
      <c r="I680" s="3">
        <v>0</v>
      </c>
      <c r="J680" s="2">
        <v>89.02</v>
      </c>
      <c r="K680" t="s">
        <v>56</v>
      </c>
    </row>
    <row r="681" spans="1:11">
      <c r="A681" t="s">
        <v>1146</v>
      </c>
      <c r="B681" s="1">
        <v>45830</v>
      </c>
      <c r="C681" t="s">
        <v>618</v>
      </c>
      <c r="D681" t="s">
        <v>26</v>
      </c>
      <c r="E681" t="s">
        <v>29</v>
      </c>
      <c r="F681" t="s">
        <v>92</v>
      </c>
      <c r="G681">
        <v>1</v>
      </c>
      <c r="H681" s="2">
        <v>64.87</v>
      </c>
      <c r="I681" s="3">
        <v>0.1</v>
      </c>
      <c r="J681" s="2">
        <v>58.38</v>
      </c>
      <c r="K681" t="s">
        <v>56</v>
      </c>
    </row>
    <row r="682" spans="1:11">
      <c r="A682" t="s">
        <v>1147</v>
      </c>
      <c r="B682" s="1">
        <v>45824</v>
      </c>
      <c r="C682" t="s">
        <v>235</v>
      </c>
      <c r="D682" t="s">
        <v>22</v>
      </c>
      <c r="E682" t="s">
        <v>25</v>
      </c>
      <c r="F682" t="s">
        <v>36</v>
      </c>
      <c r="G682">
        <v>1</v>
      </c>
      <c r="H682" s="2">
        <v>94.25</v>
      </c>
      <c r="I682" s="3">
        <v>0.05</v>
      </c>
      <c r="J682" s="2">
        <v>89.54</v>
      </c>
      <c r="K682" t="s">
        <v>61</v>
      </c>
    </row>
    <row r="683" spans="1:11">
      <c r="A683" t="s">
        <v>1148</v>
      </c>
      <c r="B683" s="1">
        <v>45939</v>
      </c>
      <c r="C683" t="s">
        <v>220</v>
      </c>
      <c r="D683" t="s">
        <v>18</v>
      </c>
      <c r="E683" t="s">
        <v>25</v>
      </c>
      <c r="F683" t="s">
        <v>78</v>
      </c>
      <c r="G683">
        <v>1</v>
      </c>
      <c r="H683" s="2">
        <v>45.53</v>
      </c>
      <c r="I683" s="3">
        <v>0.1</v>
      </c>
      <c r="J683" s="2">
        <v>40.98</v>
      </c>
      <c r="K683" t="s">
        <v>56</v>
      </c>
    </row>
    <row r="684" spans="1:11">
      <c r="A684" t="s">
        <v>1149</v>
      </c>
      <c r="B684" s="1">
        <v>45675</v>
      </c>
      <c r="C684" t="s">
        <v>378</v>
      </c>
      <c r="D684" t="s">
        <v>26</v>
      </c>
      <c r="E684" t="s">
        <v>33</v>
      </c>
      <c r="F684" t="s">
        <v>34</v>
      </c>
      <c r="G684">
        <v>2</v>
      </c>
      <c r="H684" s="2">
        <v>29.6</v>
      </c>
      <c r="I684" s="3">
        <v>0.05</v>
      </c>
      <c r="J684" s="2">
        <v>56.24</v>
      </c>
      <c r="K684" t="s">
        <v>79</v>
      </c>
    </row>
    <row r="685" spans="1:11">
      <c r="A685" t="s">
        <v>1150</v>
      </c>
      <c r="B685" s="1">
        <v>45767</v>
      </c>
      <c r="C685" t="s">
        <v>1151</v>
      </c>
      <c r="D685" t="s">
        <v>22</v>
      </c>
      <c r="E685" t="s">
        <v>25</v>
      </c>
      <c r="F685" t="s">
        <v>36</v>
      </c>
      <c r="G685">
        <v>1</v>
      </c>
      <c r="H685" s="2">
        <v>99.79</v>
      </c>
      <c r="I685" s="3">
        <v>0.05</v>
      </c>
      <c r="J685" s="2">
        <v>94.8</v>
      </c>
      <c r="K685" t="s">
        <v>79</v>
      </c>
    </row>
    <row r="686" spans="1:11">
      <c r="A686" t="s">
        <v>1152</v>
      </c>
      <c r="B686" s="1">
        <v>45677</v>
      </c>
      <c r="C686" t="s">
        <v>785</v>
      </c>
      <c r="D686" t="s">
        <v>22</v>
      </c>
      <c r="E686" t="s">
        <v>21</v>
      </c>
      <c r="F686" t="s">
        <v>40</v>
      </c>
      <c r="G686">
        <v>1</v>
      </c>
      <c r="H686" s="2">
        <v>43.89</v>
      </c>
      <c r="I686" s="3">
        <v>0.05</v>
      </c>
      <c r="J686" s="2">
        <v>41.7</v>
      </c>
      <c r="K686" t="s">
        <v>79</v>
      </c>
    </row>
    <row r="687" spans="1:11">
      <c r="A687" t="s">
        <v>1153</v>
      </c>
      <c r="B687" s="1">
        <v>45789</v>
      </c>
      <c r="C687" t="s">
        <v>730</v>
      </c>
      <c r="D687" t="s">
        <v>26</v>
      </c>
      <c r="E687" t="s">
        <v>33</v>
      </c>
      <c r="F687" t="s">
        <v>34</v>
      </c>
      <c r="G687">
        <v>1</v>
      </c>
      <c r="H687" s="2">
        <v>28.48</v>
      </c>
      <c r="I687" s="3">
        <v>0</v>
      </c>
      <c r="J687" s="2">
        <v>28.48</v>
      </c>
      <c r="K687" t="s">
        <v>61</v>
      </c>
    </row>
    <row r="688" spans="1:11">
      <c r="A688" t="s">
        <v>1154</v>
      </c>
      <c r="B688" s="1">
        <v>45746</v>
      </c>
      <c r="C688" t="s">
        <v>1155</v>
      </c>
      <c r="D688" t="s">
        <v>26</v>
      </c>
      <c r="E688" t="s">
        <v>21</v>
      </c>
      <c r="F688" t="s">
        <v>40</v>
      </c>
      <c r="G688">
        <v>2</v>
      </c>
      <c r="H688" s="2">
        <v>52.8</v>
      </c>
      <c r="I688" s="3">
        <v>0.15</v>
      </c>
      <c r="J688" s="2">
        <v>89.76</v>
      </c>
      <c r="K688" t="s">
        <v>79</v>
      </c>
    </row>
    <row r="689" spans="1:11">
      <c r="A689" t="s">
        <v>1156</v>
      </c>
      <c r="B689" s="1">
        <v>45953</v>
      </c>
      <c r="C689" t="s">
        <v>681</v>
      </c>
      <c r="D689" t="s">
        <v>30</v>
      </c>
      <c r="E689" t="s">
        <v>25</v>
      </c>
      <c r="F689" t="s">
        <v>38</v>
      </c>
      <c r="G689">
        <v>1</v>
      </c>
      <c r="H689" s="2">
        <v>103.35</v>
      </c>
      <c r="I689" s="3">
        <v>0.05</v>
      </c>
      <c r="J689" s="2">
        <v>98.18</v>
      </c>
      <c r="K689" t="s">
        <v>61</v>
      </c>
    </row>
    <row r="690" spans="1:11">
      <c r="A690" t="s">
        <v>1157</v>
      </c>
      <c r="B690" s="1">
        <v>45719</v>
      </c>
      <c r="C690" t="s">
        <v>1158</v>
      </c>
      <c r="D690" t="s">
        <v>18</v>
      </c>
      <c r="E690" t="s">
        <v>33</v>
      </c>
      <c r="F690" t="s">
        <v>31</v>
      </c>
      <c r="G690">
        <v>2</v>
      </c>
      <c r="H690" s="2">
        <v>83.64</v>
      </c>
      <c r="I690" s="3">
        <v>0</v>
      </c>
      <c r="J690" s="2">
        <v>167.28</v>
      </c>
      <c r="K690" t="s">
        <v>61</v>
      </c>
    </row>
    <row r="691" spans="1:11">
      <c r="A691" t="s">
        <v>1159</v>
      </c>
      <c r="B691" s="1">
        <v>45926</v>
      </c>
      <c r="C691" t="s">
        <v>436</v>
      </c>
      <c r="D691" t="s">
        <v>22</v>
      </c>
      <c r="E691" t="s">
        <v>17</v>
      </c>
      <c r="F691" t="s">
        <v>19</v>
      </c>
      <c r="G691">
        <v>1</v>
      </c>
      <c r="H691" s="2">
        <v>81.88</v>
      </c>
      <c r="I691" s="3">
        <v>0.05</v>
      </c>
      <c r="J691" s="2">
        <v>77.790000000000006</v>
      </c>
      <c r="K691" t="s">
        <v>79</v>
      </c>
    </row>
    <row r="692" spans="1:11">
      <c r="A692" t="s">
        <v>1160</v>
      </c>
      <c r="B692" s="1">
        <v>45683</v>
      </c>
      <c r="C692" t="s">
        <v>395</v>
      </c>
      <c r="D692" t="s">
        <v>18</v>
      </c>
      <c r="E692" t="s">
        <v>29</v>
      </c>
      <c r="F692" t="s">
        <v>92</v>
      </c>
      <c r="G692">
        <v>2</v>
      </c>
      <c r="H692" s="2">
        <v>53.88</v>
      </c>
      <c r="I692" s="3">
        <v>0.1</v>
      </c>
      <c r="J692" s="2">
        <v>96.98</v>
      </c>
      <c r="K692" t="s">
        <v>79</v>
      </c>
    </row>
    <row r="693" spans="1:11">
      <c r="A693" t="s">
        <v>1161</v>
      </c>
      <c r="B693" s="1">
        <v>45879</v>
      </c>
      <c r="C693" t="s">
        <v>470</v>
      </c>
      <c r="D693" t="s">
        <v>30</v>
      </c>
      <c r="E693" t="s">
        <v>33</v>
      </c>
      <c r="F693" t="s">
        <v>34</v>
      </c>
      <c r="G693">
        <v>2</v>
      </c>
      <c r="H693" s="2">
        <v>26.07</v>
      </c>
      <c r="I693" s="3">
        <v>0.05</v>
      </c>
      <c r="J693" s="2">
        <v>49.53</v>
      </c>
      <c r="K693" t="s">
        <v>56</v>
      </c>
    </row>
    <row r="694" spans="1:11">
      <c r="A694" t="s">
        <v>1162</v>
      </c>
      <c r="B694" s="1">
        <v>45683</v>
      </c>
      <c r="C694" t="s">
        <v>307</v>
      </c>
      <c r="D694" t="s">
        <v>22</v>
      </c>
      <c r="E694" t="s">
        <v>21</v>
      </c>
      <c r="F694" t="s">
        <v>71</v>
      </c>
      <c r="G694">
        <v>1</v>
      </c>
      <c r="H694" s="2">
        <v>60.59</v>
      </c>
      <c r="I694" s="3">
        <v>0.15</v>
      </c>
      <c r="J694" s="2">
        <v>51.5</v>
      </c>
      <c r="K694" t="s">
        <v>79</v>
      </c>
    </row>
    <row r="695" spans="1:11">
      <c r="A695" t="s">
        <v>1163</v>
      </c>
      <c r="B695" s="1">
        <v>45904</v>
      </c>
      <c r="C695" t="s">
        <v>1164</v>
      </c>
      <c r="D695" t="s">
        <v>22</v>
      </c>
      <c r="E695" t="s">
        <v>21</v>
      </c>
      <c r="F695" t="s">
        <v>71</v>
      </c>
      <c r="G695">
        <v>1</v>
      </c>
      <c r="H695" s="2">
        <v>67.650000000000006</v>
      </c>
      <c r="I695" s="3">
        <v>0.15</v>
      </c>
      <c r="J695" s="2">
        <v>57.5</v>
      </c>
      <c r="K695" t="s">
        <v>79</v>
      </c>
    </row>
    <row r="696" spans="1:11">
      <c r="A696" t="s">
        <v>1165</v>
      </c>
      <c r="B696" s="1">
        <v>45694</v>
      </c>
      <c r="C696" t="s">
        <v>1166</v>
      </c>
      <c r="D696" t="s">
        <v>18</v>
      </c>
      <c r="E696" t="s">
        <v>33</v>
      </c>
      <c r="F696" t="s">
        <v>34</v>
      </c>
      <c r="G696">
        <v>2</v>
      </c>
      <c r="H696" s="2">
        <v>27.75</v>
      </c>
      <c r="I696" s="3">
        <v>0.15</v>
      </c>
      <c r="J696" s="2">
        <v>47.17</v>
      </c>
      <c r="K696" t="s">
        <v>56</v>
      </c>
    </row>
    <row r="697" spans="1:11">
      <c r="A697" t="s">
        <v>1167</v>
      </c>
      <c r="B697" s="1">
        <v>45869</v>
      </c>
      <c r="C697" t="s">
        <v>162</v>
      </c>
      <c r="D697" t="s">
        <v>26</v>
      </c>
      <c r="E697" t="s">
        <v>25</v>
      </c>
      <c r="F697" t="s">
        <v>38</v>
      </c>
      <c r="G697">
        <v>1</v>
      </c>
      <c r="H697" s="2">
        <v>108.63</v>
      </c>
      <c r="I697" s="3">
        <v>0.05</v>
      </c>
      <c r="J697" s="2">
        <v>103.2</v>
      </c>
      <c r="K697" t="s">
        <v>79</v>
      </c>
    </row>
    <row r="698" spans="1:11">
      <c r="A698" t="s">
        <v>1168</v>
      </c>
      <c r="B698" s="1">
        <v>45837</v>
      </c>
      <c r="C698" t="s">
        <v>548</v>
      </c>
      <c r="D698" t="s">
        <v>30</v>
      </c>
      <c r="E698" t="s">
        <v>29</v>
      </c>
      <c r="F698" t="s">
        <v>68</v>
      </c>
      <c r="G698">
        <v>2</v>
      </c>
      <c r="H698" s="2">
        <v>50.17</v>
      </c>
      <c r="I698" s="3">
        <v>0.15</v>
      </c>
      <c r="J698" s="2">
        <v>85.29</v>
      </c>
      <c r="K698" t="s">
        <v>79</v>
      </c>
    </row>
    <row r="699" spans="1:11">
      <c r="A699" t="s">
        <v>1169</v>
      </c>
      <c r="B699" s="1">
        <v>45777</v>
      </c>
      <c r="C699" t="s">
        <v>705</v>
      </c>
      <c r="D699" t="s">
        <v>18</v>
      </c>
      <c r="E699" t="s">
        <v>33</v>
      </c>
      <c r="F699" t="s">
        <v>31</v>
      </c>
      <c r="G699">
        <v>2</v>
      </c>
      <c r="H699" s="2">
        <v>66.709999999999994</v>
      </c>
      <c r="I699" s="3">
        <v>0</v>
      </c>
      <c r="J699" s="2">
        <v>133.41999999999999</v>
      </c>
      <c r="K699" t="s">
        <v>79</v>
      </c>
    </row>
    <row r="700" spans="1:11">
      <c r="A700" t="s">
        <v>1170</v>
      </c>
      <c r="B700" s="1">
        <v>45975</v>
      </c>
      <c r="C700" t="s">
        <v>1171</v>
      </c>
      <c r="D700" t="s">
        <v>18</v>
      </c>
      <c r="E700" t="s">
        <v>17</v>
      </c>
      <c r="F700" t="s">
        <v>27</v>
      </c>
      <c r="G700">
        <v>3</v>
      </c>
      <c r="H700" s="2">
        <v>66.12</v>
      </c>
      <c r="I700" s="3">
        <v>0</v>
      </c>
      <c r="J700" s="2">
        <v>198.36</v>
      </c>
      <c r="K700" t="s">
        <v>61</v>
      </c>
    </row>
    <row r="701" spans="1:11">
      <c r="A701" t="s">
        <v>1172</v>
      </c>
      <c r="B701" s="1">
        <v>45888</v>
      </c>
      <c r="C701" t="s">
        <v>83</v>
      </c>
      <c r="D701" t="s">
        <v>22</v>
      </c>
      <c r="E701" t="s">
        <v>21</v>
      </c>
      <c r="F701" t="s">
        <v>40</v>
      </c>
      <c r="G701">
        <v>1</v>
      </c>
      <c r="H701" s="2">
        <v>45.03</v>
      </c>
      <c r="I701" s="3">
        <v>0.15</v>
      </c>
      <c r="J701" s="2">
        <v>38.28</v>
      </c>
      <c r="K701" t="s">
        <v>56</v>
      </c>
    </row>
    <row r="702" spans="1:11">
      <c r="A702" t="s">
        <v>1173</v>
      </c>
      <c r="B702" s="1">
        <v>45925</v>
      </c>
      <c r="C702" t="s">
        <v>1174</v>
      </c>
      <c r="D702" t="s">
        <v>30</v>
      </c>
      <c r="E702" t="s">
        <v>33</v>
      </c>
      <c r="F702" t="s">
        <v>34</v>
      </c>
      <c r="G702">
        <v>1</v>
      </c>
      <c r="H702" s="2">
        <v>30.61</v>
      </c>
      <c r="I702" s="3">
        <v>0</v>
      </c>
      <c r="J702" s="2">
        <v>30.61</v>
      </c>
      <c r="K702" t="s">
        <v>56</v>
      </c>
    </row>
    <row r="703" spans="1:11">
      <c r="A703" t="s">
        <v>1175</v>
      </c>
      <c r="B703" s="1">
        <v>45997</v>
      </c>
      <c r="C703" t="s">
        <v>1176</v>
      </c>
      <c r="D703" t="s">
        <v>26</v>
      </c>
      <c r="E703" t="s">
        <v>21</v>
      </c>
      <c r="F703" t="s">
        <v>71</v>
      </c>
      <c r="G703">
        <v>1</v>
      </c>
      <c r="H703" s="2">
        <v>62.53</v>
      </c>
      <c r="I703" s="3">
        <v>0.05</v>
      </c>
      <c r="J703" s="2">
        <v>59.4</v>
      </c>
      <c r="K703" t="s">
        <v>79</v>
      </c>
    </row>
    <row r="704" spans="1:11">
      <c r="A704" t="s">
        <v>1177</v>
      </c>
      <c r="B704" s="1">
        <v>45896</v>
      </c>
      <c r="C704" t="s">
        <v>611</v>
      </c>
      <c r="D704" t="s">
        <v>18</v>
      </c>
      <c r="E704" t="s">
        <v>29</v>
      </c>
      <c r="F704" t="s">
        <v>92</v>
      </c>
      <c r="G704">
        <v>3</v>
      </c>
      <c r="H704" s="2">
        <v>47.96</v>
      </c>
      <c r="I704" s="3">
        <v>0.05</v>
      </c>
      <c r="J704" s="2">
        <v>136.69</v>
      </c>
      <c r="K704" t="s">
        <v>79</v>
      </c>
    </row>
    <row r="705" spans="1:11">
      <c r="A705" t="s">
        <v>1178</v>
      </c>
      <c r="B705" s="1">
        <v>45807</v>
      </c>
      <c r="C705" t="s">
        <v>362</v>
      </c>
      <c r="D705" t="s">
        <v>26</v>
      </c>
      <c r="E705" t="s">
        <v>29</v>
      </c>
      <c r="F705" t="s">
        <v>92</v>
      </c>
      <c r="G705">
        <v>1</v>
      </c>
      <c r="H705" s="2">
        <v>64.53</v>
      </c>
      <c r="I705" s="3">
        <v>0.15</v>
      </c>
      <c r="J705" s="2">
        <v>54.85</v>
      </c>
      <c r="K705" t="s">
        <v>61</v>
      </c>
    </row>
    <row r="706" spans="1:11">
      <c r="A706" t="s">
        <v>1179</v>
      </c>
      <c r="B706" s="1">
        <v>45963</v>
      </c>
      <c r="C706" t="s">
        <v>334</v>
      </c>
      <c r="D706" t="s">
        <v>18</v>
      </c>
      <c r="E706" t="s">
        <v>21</v>
      </c>
      <c r="F706" t="s">
        <v>71</v>
      </c>
      <c r="G706">
        <v>1</v>
      </c>
      <c r="H706" s="2">
        <v>63.18</v>
      </c>
      <c r="I706" s="3">
        <v>0.1</v>
      </c>
      <c r="J706" s="2">
        <v>56.86</v>
      </c>
      <c r="K706" t="s">
        <v>79</v>
      </c>
    </row>
    <row r="707" spans="1:11">
      <c r="A707" t="s">
        <v>1180</v>
      </c>
      <c r="B707" s="1">
        <v>45784</v>
      </c>
      <c r="C707" t="s">
        <v>1174</v>
      </c>
      <c r="D707" t="s">
        <v>26</v>
      </c>
      <c r="E707" t="s">
        <v>21</v>
      </c>
      <c r="F707" t="s">
        <v>71</v>
      </c>
      <c r="G707">
        <v>1</v>
      </c>
      <c r="H707" s="2">
        <v>69.81</v>
      </c>
      <c r="I707" s="3">
        <v>0</v>
      </c>
      <c r="J707" s="2">
        <v>69.81</v>
      </c>
      <c r="K707" t="s">
        <v>56</v>
      </c>
    </row>
    <row r="708" spans="1:11">
      <c r="A708" t="s">
        <v>1181</v>
      </c>
      <c r="B708" s="1">
        <v>45838</v>
      </c>
      <c r="C708" t="s">
        <v>233</v>
      </c>
      <c r="D708" t="s">
        <v>18</v>
      </c>
      <c r="E708" t="s">
        <v>25</v>
      </c>
      <c r="F708" t="s">
        <v>36</v>
      </c>
      <c r="G708">
        <v>2</v>
      </c>
      <c r="H708" s="2">
        <v>82.59</v>
      </c>
      <c r="I708" s="3">
        <v>0.15</v>
      </c>
      <c r="J708" s="2">
        <v>140.4</v>
      </c>
      <c r="K708" t="s">
        <v>56</v>
      </c>
    </row>
    <row r="709" spans="1:11">
      <c r="A709" t="s">
        <v>1182</v>
      </c>
      <c r="B709" s="1">
        <v>45789</v>
      </c>
      <c r="C709" t="s">
        <v>1183</v>
      </c>
      <c r="D709" t="s">
        <v>26</v>
      </c>
      <c r="E709" t="s">
        <v>25</v>
      </c>
      <c r="F709" t="s">
        <v>38</v>
      </c>
      <c r="G709">
        <v>3</v>
      </c>
      <c r="H709" s="2">
        <v>133.15</v>
      </c>
      <c r="I709" s="3">
        <v>0</v>
      </c>
      <c r="J709" s="2">
        <v>399.45</v>
      </c>
      <c r="K709" t="s">
        <v>79</v>
      </c>
    </row>
    <row r="710" spans="1:11">
      <c r="A710" t="s">
        <v>1184</v>
      </c>
      <c r="B710" s="1">
        <v>45735</v>
      </c>
      <c r="C710" t="s">
        <v>1158</v>
      </c>
      <c r="D710" t="s">
        <v>22</v>
      </c>
      <c r="E710" t="s">
        <v>25</v>
      </c>
      <c r="F710" t="s">
        <v>36</v>
      </c>
      <c r="G710">
        <v>3</v>
      </c>
      <c r="H710" s="2">
        <v>94.94</v>
      </c>
      <c r="I710" s="3">
        <v>0</v>
      </c>
      <c r="J710" s="2">
        <v>284.82</v>
      </c>
      <c r="K710" t="s">
        <v>61</v>
      </c>
    </row>
    <row r="711" spans="1:11">
      <c r="A711" t="s">
        <v>1185</v>
      </c>
      <c r="B711" s="1">
        <v>45781</v>
      </c>
      <c r="C711" t="s">
        <v>1186</v>
      </c>
      <c r="D711" t="s">
        <v>30</v>
      </c>
      <c r="E711" t="s">
        <v>29</v>
      </c>
      <c r="F711" t="s">
        <v>68</v>
      </c>
      <c r="G711">
        <v>1</v>
      </c>
      <c r="H711" s="2">
        <v>52.66</v>
      </c>
      <c r="I711" s="3">
        <v>0.15</v>
      </c>
      <c r="J711" s="2">
        <v>44.76</v>
      </c>
      <c r="K711" t="s">
        <v>56</v>
      </c>
    </row>
    <row r="712" spans="1:11">
      <c r="A712" t="s">
        <v>1187</v>
      </c>
      <c r="B712" s="1">
        <v>45725</v>
      </c>
      <c r="C712" t="s">
        <v>1188</v>
      </c>
      <c r="D712" t="s">
        <v>26</v>
      </c>
      <c r="E712" t="s">
        <v>33</v>
      </c>
      <c r="F712" t="s">
        <v>31</v>
      </c>
      <c r="G712">
        <v>2</v>
      </c>
      <c r="H712" s="2">
        <v>77.09</v>
      </c>
      <c r="I712" s="3">
        <v>0</v>
      </c>
      <c r="J712" s="2">
        <v>154.18</v>
      </c>
      <c r="K712" t="s">
        <v>56</v>
      </c>
    </row>
    <row r="713" spans="1:11">
      <c r="A713" t="s">
        <v>1189</v>
      </c>
      <c r="B713" s="1">
        <v>46019</v>
      </c>
      <c r="C713" t="s">
        <v>1190</v>
      </c>
      <c r="D713" t="s">
        <v>22</v>
      </c>
      <c r="E713" t="s">
        <v>21</v>
      </c>
      <c r="F713" t="s">
        <v>71</v>
      </c>
      <c r="G713">
        <v>3</v>
      </c>
      <c r="H713" s="2">
        <v>68.44</v>
      </c>
      <c r="I713" s="3">
        <v>0</v>
      </c>
      <c r="J713" s="2">
        <v>205.32</v>
      </c>
      <c r="K713" t="s">
        <v>61</v>
      </c>
    </row>
    <row r="714" spans="1:11">
      <c r="A714" t="s">
        <v>1191</v>
      </c>
      <c r="B714" s="1">
        <v>45692</v>
      </c>
      <c r="C714" t="s">
        <v>1192</v>
      </c>
      <c r="D714" t="s">
        <v>22</v>
      </c>
      <c r="E714" t="s">
        <v>21</v>
      </c>
      <c r="F714" t="s">
        <v>71</v>
      </c>
      <c r="G714">
        <v>1</v>
      </c>
      <c r="H714" s="2">
        <v>75.03</v>
      </c>
      <c r="I714" s="3">
        <v>0</v>
      </c>
      <c r="J714" s="2">
        <v>75.03</v>
      </c>
      <c r="K714" t="s">
        <v>56</v>
      </c>
    </row>
    <row r="715" spans="1:11">
      <c r="A715" t="s">
        <v>1193</v>
      </c>
      <c r="B715" s="1">
        <v>45673</v>
      </c>
      <c r="C715" t="s">
        <v>503</v>
      </c>
      <c r="D715" t="s">
        <v>30</v>
      </c>
      <c r="E715" t="s">
        <v>25</v>
      </c>
      <c r="F715" t="s">
        <v>36</v>
      </c>
      <c r="G715">
        <v>3</v>
      </c>
      <c r="H715" s="2">
        <v>87.81</v>
      </c>
      <c r="I715" s="3">
        <v>0.1</v>
      </c>
      <c r="J715" s="2">
        <v>237.09</v>
      </c>
      <c r="K715" t="s">
        <v>56</v>
      </c>
    </row>
    <row r="716" spans="1:11">
      <c r="A716" t="s">
        <v>1194</v>
      </c>
      <c r="B716" s="1">
        <v>45984</v>
      </c>
      <c r="C716" t="s">
        <v>137</v>
      </c>
      <c r="D716" t="s">
        <v>22</v>
      </c>
      <c r="E716" t="s">
        <v>25</v>
      </c>
      <c r="F716" t="s">
        <v>78</v>
      </c>
      <c r="G716">
        <v>1</v>
      </c>
      <c r="H716" s="2">
        <v>43.18</v>
      </c>
      <c r="I716" s="3">
        <v>0</v>
      </c>
      <c r="J716" s="2">
        <v>43.18</v>
      </c>
      <c r="K716" t="s">
        <v>79</v>
      </c>
    </row>
    <row r="717" spans="1:11">
      <c r="A717" t="s">
        <v>1195</v>
      </c>
      <c r="B717" s="1">
        <v>45971</v>
      </c>
      <c r="C717" t="s">
        <v>1196</v>
      </c>
      <c r="D717" t="s">
        <v>22</v>
      </c>
      <c r="E717" t="s">
        <v>29</v>
      </c>
      <c r="F717" t="s">
        <v>68</v>
      </c>
      <c r="G717">
        <v>1</v>
      </c>
      <c r="H717" s="2">
        <v>46.67</v>
      </c>
      <c r="I717" s="3">
        <v>0</v>
      </c>
      <c r="J717" s="2">
        <v>46.67</v>
      </c>
      <c r="K717" t="s">
        <v>56</v>
      </c>
    </row>
    <row r="718" spans="1:11">
      <c r="A718" t="s">
        <v>1197</v>
      </c>
      <c r="B718" s="1">
        <v>45671</v>
      </c>
      <c r="C718" t="s">
        <v>436</v>
      </c>
      <c r="D718" t="s">
        <v>30</v>
      </c>
      <c r="E718" t="s">
        <v>25</v>
      </c>
      <c r="F718" t="s">
        <v>36</v>
      </c>
      <c r="G718">
        <v>1</v>
      </c>
      <c r="H718" s="2">
        <v>98.55</v>
      </c>
      <c r="I718" s="3">
        <v>0</v>
      </c>
      <c r="J718" s="2">
        <v>98.55</v>
      </c>
      <c r="K718" t="s">
        <v>56</v>
      </c>
    </row>
    <row r="719" spans="1:11">
      <c r="A719" t="s">
        <v>1198</v>
      </c>
      <c r="B719" s="1">
        <v>45990</v>
      </c>
      <c r="C719" t="s">
        <v>324</v>
      </c>
      <c r="D719" t="s">
        <v>22</v>
      </c>
      <c r="E719" t="s">
        <v>25</v>
      </c>
      <c r="F719" t="s">
        <v>36</v>
      </c>
      <c r="G719">
        <v>1</v>
      </c>
      <c r="H719" s="2">
        <v>87.03</v>
      </c>
      <c r="I719" s="3">
        <v>0.1</v>
      </c>
      <c r="J719" s="2">
        <v>78.33</v>
      </c>
      <c r="K719" t="s">
        <v>79</v>
      </c>
    </row>
    <row r="720" spans="1:11">
      <c r="A720" t="s">
        <v>1199</v>
      </c>
      <c r="B720" s="1">
        <v>45773</v>
      </c>
      <c r="C720" t="s">
        <v>993</v>
      </c>
      <c r="D720" t="s">
        <v>22</v>
      </c>
      <c r="E720" t="s">
        <v>17</v>
      </c>
      <c r="F720" t="s">
        <v>19</v>
      </c>
      <c r="G720">
        <v>1</v>
      </c>
      <c r="H720" s="2">
        <v>92.41</v>
      </c>
      <c r="I720" s="3">
        <v>0.05</v>
      </c>
      <c r="J720" s="2">
        <v>87.79</v>
      </c>
      <c r="K720" t="s">
        <v>56</v>
      </c>
    </row>
    <row r="721" spans="1:11">
      <c r="A721" t="s">
        <v>1200</v>
      </c>
      <c r="B721" s="1">
        <v>46001</v>
      </c>
      <c r="C721" t="s">
        <v>692</v>
      </c>
      <c r="D721" t="s">
        <v>26</v>
      </c>
      <c r="E721" t="s">
        <v>33</v>
      </c>
      <c r="F721" t="s">
        <v>31</v>
      </c>
      <c r="G721">
        <v>2</v>
      </c>
      <c r="H721" s="2">
        <v>64.52</v>
      </c>
      <c r="I721" s="3">
        <v>0.1</v>
      </c>
      <c r="J721" s="2">
        <v>116.14</v>
      </c>
      <c r="K721" t="s">
        <v>61</v>
      </c>
    </row>
    <row r="722" spans="1:11">
      <c r="A722" t="s">
        <v>1201</v>
      </c>
      <c r="B722" s="1">
        <v>45784</v>
      </c>
      <c r="C722" t="s">
        <v>366</v>
      </c>
      <c r="D722" t="s">
        <v>30</v>
      </c>
      <c r="E722" t="s">
        <v>25</v>
      </c>
      <c r="F722" t="s">
        <v>38</v>
      </c>
      <c r="G722">
        <v>1</v>
      </c>
      <c r="H722" s="2">
        <v>102.79</v>
      </c>
      <c r="I722" s="3">
        <v>0.1</v>
      </c>
      <c r="J722" s="2">
        <v>92.51</v>
      </c>
      <c r="K722" t="s">
        <v>56</v>
      </c>
    </row>
    <row r="723" spans="1:11">
      <c r="A723" t="s">
        <v>1202</v>
      </c>
      <c r="B723" s="1">
        <v>45950</v>
      </c>
      <c r="C723" t="s">
        <v>874</v>
      </c>
      <c r="D723" t="s">
        <v>18</v>
      </c>
      <c r="E723" t="s">
        <v>29</v>
      </c>
      <c r="F723" t="s">
        <v>68</v>
      </c>
      <c r="G723">
        <v>1</v>
      </c>
      <c r="H723" s="2">
        <v>47.77</v>
      </c>
      <c r="I723" s="3">
        <v>0</v>
      </c>
      <c r="J723" s="2">
        <v>47.77</v>
      </c>
      <c r="K723" t="s">
        <v>61</v>
      </c>
    </row>
    <row r="724" spans="1:11">
      <c r="A724" t="s">
        <v>1203</v>
      </c>
      <c r="B724" s="1">
        <v>45891</v>
      </c>
      <c r="C724" t="s">
        <v>1204</v>
      </c>
      <c r="D724" t="s">
        <v>18</v>
      </c>
      <c r="E724" t="s">
        <v>17</v>
      </c>
      <c r="F724" t="s">
        <v>19</v>
      </c>
      <c r="G724">
        <v>3</v>
      </c>
      <c r="H724" s="2">
        <v>73.56</v>
      </c>
      <c r="I724" s="3">
        <v>0.15</v>
      </c>
      <c r="J724" s="2">
        <v>187.58</v>
      </c>
      <c r="K724" t="s">
        <v>56</v>
      </c>
    </row>
    <row r="725" spans="1:11">
      <c r="A725" t="s">
        <v>1205</v>
      </c>
      <c r="B725" s="1">
        <v>45856</v>
      </c>
      <c r="C725" t="s">
        <v>1206</v>
      </c>
      <c r="D725" t="s">
        <v>30</v>
      </c>
      <c r="E725" t="s">
        <v>21</v>
      </c>
      <c r="F725" t="s">
        <v>71</v>
      </c>
      <c r="G725">
        <v>2</v>
      </c>
      <c r="H725" s="2">
        <v>80.569999999999993</v>
      </c>
      <c r="I725" s="3">
        <v>0</v>
      </c>
      <c r="J725" s="2">
        <v>161.13999999999999</v>
      </c>
      <c r="K725" t="s">
        <v>61</v>
      </c>
    </row>
    <row r="726" spans="1:11">
      <c r="A726" t="s">
        <v>1207</v>
      </c>
      <c r="B726" s="1">
        <v>45813</v>
      </c>
      <c r="C726" t="s">
        <v>927</v>
      </c>
      <c r="D726" t="s">
        <v>22</v>
      </c>
      <c r="E726" t="s">
        <v>33</v>
      </c>
      <c r="F726" t="s">
        <v>34</v>
      </c>
      <c r="G726">
        <v>1</v>
      </c>
      <c r="H726" s="2">
        <v>28.69</v>
      </c>
      <c r="I726" s="3">
        <v>0.15</v>
      </c>
      <c r="J726" s="2">
        <v>24.39</v>
      </c>
      <c r="K726" t="s">
        <v>61</v>
      </c>
    </row>
    <row r="727" spans="1:11">
      <c r="A727" t="s">
        <v>1208</v>
      </c>
      <c r="B727" s="1">
        <v>45988</v>
      </c>
      <c r="C727" t="s">
        <v>273</v>
      </c>
      <c r="D727" t="s">
        <v>22</v>
      </c>
      <c r="E727" t="s">
        <v>21</v>
      </c>
      <c r="F727" t="s">
        <v>40</v>
      </c>
      <c r="G727">
        <v>1</v>
      </c>
      <c r="H727" s="2">
        <v>49.75</v>
      </c>
      <c r="I727" s="3">
        <v>0</v>
      </c>
      <c r="J727" s="2">
        <v>49.75</v>
      </c>
      <c r="K727" t="s">
        <v>61</v>
      </c>
    </row>
    <row r="728" spans="1:11">
      <c r="A728" t="s">
        <v>1209</v>
      </c>
      <c r="B728" s="1">
        <v>45869</v>
      </c>
      <c r="C728" t="s">
        <v>464</v>
      </c>
      <c r="D728" t="s">
        <v>30</v>
      </c>
      <c r="E728" t="s">
        <v>25</v>
      </c>
      <c r="F728" t="s">
        <v>36</v>
      </c>
      <c r="G728">
        <v>1</v>
      </c>
      <c r="H728" s="2">
        <v>80.900000000000006</v>
      </c>
      <c r="I728" s="3">
        <v>0.15</v>
      </c>
      <c r="J728" s="2">
        <v>68.77</v>
      </c>
      <c r="K728" t="s">
        <v>79</v>
      </c>
    </row>
    <row r="729" spans="1:11">
      <c r="A729" t="s">
        <v>1210</v>
      </c>
      <c r="B729" s="1">
        <v>45786</v>
      </c>
      <c r="C729" t="s">
        <v>866</v>
      </c>
      <c r="D729" t="s">
        <v>18</v>
      </c>
      <c r="E729" t="s">
        <v>25</v>
      </c>
      <c r="F729" t="s">
        <v>36</v>
      </c>
      <c r="G729">
        <v>2</v>
      </c>
      <c r="H729" s="2">
        <v>102.29</v>
      </c>
      <c r="I729" s="3">
        <v>0</v>
      </c>
      <c r="J729" s="2">
        <v>204.58</v>
      </c>
      <c r="K729" t="s">
        <v>79</v>
      </c>
    </row>
    <row r="730" spans="1:11">
      <c r="A730" t="s">
        <v>1211</v>
      </c>
      <c r="B730" s="1">
        <v>46019</v>
      </c>
      <c r="C730" t="s">
        <v>1028</v>
      </c>
      <c r="D730" t="s">
        <v>22</v>
      </c>
      <c r="E730" t="s">
        <v>21</v>
      </c>
      <c r="F730" t="s">
        <v>40</v>
      </c>
      <c r="G730">
        <v>2</v>
      </c>
      <c r="H730" s="2">
        <v>43.03</v>
      </c>
      <c r="I730" s="3">
        <v>0.1</v>
      </c>
      <c r="J730" s="2">
        <v>77.45</v>
      </c>
      <c r="K730" t="s">
        <v>61</v>
      </c>
    </row>
    <row r="731" spans="1:11">
      <c r="A731" t="s">
        <v>1212</v>
      </c>
      <c r="B731" s="1">
        <v>45939</v>
      </c>
      <c r="C731" t="s">
        <v>1213</v>
      </c>
      <c r="D731" t="s">
        <v>22</v>
      </c>
      <c r="E731" t="s">
        <v>25</v>
      </c>
      <c r="F731" t="s">
        <v>38</v>
      </c>
      <c r="G731">
        <v>1</v>
      </c>
      <c r="H731" s="2">
        <v>107.86</v>
      </c>
      <c r="I731" s="3">
        <v>0.05</v>
      </c>
      <c r="J731" s="2">
        <v>102.47</v>
      </c>
      <c r="K731" t="s">
        <v>79</v>
      </c>
    </row>
    <row r="732" spans="1:11">
      <c r="A732" t="s">
        <v>1214</v>
      </c>
      <c r="B732" s="1">
        <v>45732</v>
      </c>
      <c r="C732" t="s">
        <v>1215</v>
      </c>
      <c r="D732" t="s">
        <v>30</v>
      </c>
      <c r="E732" t="s">
        <v>17</v>
      </c>
      <c r="F732" t="s">
        <v>27</v>
      </c>
      <c r="G732">
        <v>2</v>
      </c>
      <c r="H732" s="2">
        <v>51.15</v>
      </c>
      <c r="I732" s="3">
        <v>0.05</v>
      </c>
      <c r="J732" s="2">
        <v>97.18</v>
      </c>
      <c r="K732" t="s">
        <v>61</v>
      </c>
    </row>
    <row r="733" spans="1:11">
      <c r="A733" t="s">
        <v>1216</v>
      </c>
      <c r="B733" s="1">
        <v>45978</v>
      </c>
      <c r="C733" t="s">
        <v>589</v>
      </c>
      <c r="D733" t="s">
        <v>26</v>
      </c>
      <c r="E733" t="s">
        <v>17</v>
      </c>
      <c r="F733" t="s">
        <v>27</v>
      </c>
      <c r="G733">
        <v>1</v>
      </c>
      <c r="H733" s="2">
        <v>52.71</v>
      </c>
      <c r="I733" s="3">
        <v>0</v>
      </c>
      <c r="J733" s="2">
        <v>52.71</v>
      </c>
      <c r="K733" t="s">
        <v>79</v>
      </c>
    </row>
    <row r="734" spans="1:11">
      <c r="A734" t="s">
        <v>1217</v>
      </c>
      <c r="B734" s="1">
        <v>45892</v>
      </c>
      <c r="C734" t="s">
        <v>492</v>
      </c>
      <c r="D734" t="s">
        <v>22</v>
      </c>
      <c r="E734" t="s">
        <v>21</v>
      </c>
      <c r="F734" t="s">
        <v>40</v>
      </c>
      <c r="G734">
        <v>3</v>
      </c>
      <c r="H734" s="2">
        <v>50.44</v>
      </c>
      <c r="I734" s="3">
        <v>0</v>
      </c>
      <c r="J734" s="2">
        <v>151.32</v>
      </c>
      <c r="K734" t="s">
        <v>79</v>
      </c>
    </row>
    <row r="735" spans="1:11">
      <c r="A735" t="s">
        <v>1218</v>
      </c>
      <c r="B735" s="1">
        <v>45959</v>
      </c>
      <c r="C735" t="s">
        <v>378</v>
      </c>
      <c r="D735" t="s">
        <v>22</v>
      </c>
      <c r="E735" t="s">
        <v>29</v>
      </c>
      <c r="F735" t="s">
        <v>92</v>
      </c>
      <c r="G735">
        <v>1</v>
      </c>
      <c r="H735" s="2">
        <v>54.19</v>
      </c>
      <c r="I735" s="3">
        <v>0</v>
      </c>
      <c r="J735" s="2">
        <v>54.19</v>
      </c>
      <c r="K735" t="s">
        <v>56</v>
      </c>
    </row>
    <row r="736" spans="1:11">
      <c r="A736" t="s">
        <v>1219</v>
      </c>
      <c r="B736" s="1">
        <v>45800</v>
      </c>
      <c r="C736" t="s">
        <v>1220</v>
      </c>
      <c r="D736" t="s">
        <v>22</v>
      </c>
      <c r="E736" t="s">
        <v>29</v>
      </c>
      <c r="F736" t="s">
        <v>68</v>
      </c>
      <c r="G736">
        <v>2</v>
      </c>
      <c r="H736" s="2">
        <v>50.43</v>
      </c>
      <c r="I736" s="3">
        <v>0</v>
      </c>
      <c r="J736" s="2">
        <v>100.86</v>
      </c>
      <c r="K736" t="s">
        <v>79</v>
      </c>
    </row>
    <row r="737" spans="1:11">
      <c r="A737" t="s">
        <v>1221</v>
      </c>
      <c r="B737" s="1">
        <v>45686</v>
      </c>
      <c r="C737" t="s">
        <v>70</v>
      </c>
      <c r="D737" t="s">
        <v>26</v>
      </c>
      <c r="E737" t="s">
        <v>29</v>
      </c>
      <c r="F737" t="s">
        <v>92</v>
      </c>
      <c r="G737">
        <v>1</v>
      </c>
      <c r="H737" s="2">
        <v>49.39</v>
      </c>
      <c r="I737" s="3">
        <v>0</v>
      </c>
      <c r="J737" s="2">
        <v>49.39</v>
      </c>
      <c r="K737" t="s">
        <v>61</v>
      </c>
    </row>
    <row r="738" spans="1:11">
      <c r="A738" t="s">
        <v>1222</v>
      </c>
      <c r="B738" s="1">
        <v>45702</v>
      </c>
      <c r="C738" t="s">
        <v>433</v>
      </c>
      <c r="D738" t="s">
        <v>22</v>
      </c>
      <c r="E738" t="s">
        <v>17</v>
      </c>
      <c r="F738" t="s">
        <v>19</v>
      </c>
      <c r="G738">
        <v>1</v>
      </c>
      <c r="H738" s="2">
        <v>93.06</v>
      </c>
      <c r="I738" s="3">
        <v>0</v>
      </c>
      <c r="J738" s="2">
        <v>93.06</v>
      </c>
      <c r="K738" t="s">
        <v>61</v>
      </c>
    </row>
    <row r="739" spans="1:11">
      <c r="A739" t="s">
        <v>1223</v>
      </c>
      <c r="B739" s="1">
        <v>45954</v>
      </c>
      <c r="C739" t="s">
        <v>966</v>
      </c>
      <c r="D739" t="s">
        <v>26</v>
      </c>
      <c r="E739" t="s">
        <v>25</v>
      </c>
      <c r="F739" t="s">
        <v>36</v>
      </c>
      <c r="G739">
        <v>3</v>
      </c>
      <c r="H739" s="2">
        <v>78.39</v>
      </c>
      <c r="I739" s="3">
        <v>0.05</v>
      </c>
      <c r="J739" s="2">
        <v>223.41</v>
      </c>
      <c r="K739" t="s">
        <v>61</v>
      </c>
    </row>
    <row r="740" spans="1:11">
      <c r="A740" t="s">
        <v>1224</v>
      </c>
      <c r="B740" s="1">
        <v>45692</v>
      </c>
      <c r="C740" t="s">
        <v>1002</v>
      </c>
      <c r="D740" t="s">
        <v>18</v>
      </c>
      <c r="E740" t="s">
        <v>25</v>
      </c>
      <c r="F740" t="s">
        <v>38</v>
      </c>
      <c r="G740">
        <v>3</v>
      </c>
      <c r="H740" s="2">
        <v>103.7</v>
      </c>
      <c r="I740" s="3">
        <v>0.1</v>
      </c>
      <c r="J740" s="2">
        <v>279.99</v>
      </c>
      <c r="K740" t="s">
        <v>56</v>
      </c>
    </row>
    <row r="741" spans="1:11">
      <c r="A741" t="s">
        <v>1225</v>
      </c>
      <c r="B741" s="1">
        <v>45798</v>
      </c>
      <c r="C741" t="s">
        <v>1226</v>
      </c>
      <c r="D741" t="s">
        <v>18</v>
      </c>
      <c r="E741" t="s">
        <v>25</v>
      </c>
      <c r="F741" t="s">
        <v>36</v>
      </c>
      <c r="G741">
        <v>1</v>
      </c>
      <c r="H741" s="2">
        <v>91.06</v>
      </c>
      <c r="I741" s="3">
        <v>0</v>
      </c>
      <c r="J741" s="2">
        <v>91.06</v>
      </c>
      <c r="K741" t="s">
        <v>56</v>
      </c>
    </row>
    <row r="742" spans="1:11">
      <c r="A742" t="s">
        <v>1227</v>
      </c>
      <c r="B742" s="1">
        <v>45980</v>
      </c>
      <c r="C742" t="s">
        <v>546</v>
      </c>
      <c r="D742" t="s">
        <v>30</v>
      </c>
      <c r="E742" t="s">
        <v>21</v>
      </c>
      <c r="F742" t="s">
        <v>71</v>
      </c>
      <c r="G742">
        <v>4</v>
      </c>
      <c r="H742" s="2">
        <v>69.66</v>
      </c>
      <c r="I742" s="3">
        <v>0.15</v>
      </c>
      <c r="J742" s="2">
        <v>236.84</v>
      </c>
      <c r="K742" t="s">
        <v>56</v>
      </c>
    </row>
    <row r="743" spans="1:11">
      <c r="A743" t="s">
        <v>1228</v>
      </c>
      <c r="B743" s="1">
        <v>45820</v>
      </c>
      <c r="C743" t="s">
        <v>425</v>
      </c>
      <c r="D743" t="s">
        <v>30</v>
      </c>
      <c r="E743" t="s">
        <v>33</v>
      </c>
      <c r="F743" t="s">
        <v>34</v>
      </c>
      <c r="G743">
        <v>1</v>
      </c>
      <c r="H743" s="2">
        <v>34.17</v>
      </c>
      <c r="I743" s="3">
        <v>0.05</v>
      </c>
      <c r="J743" s="2">
        <v>32.46</v>
      </c>
      <c r="K743" t="s">
        <v>56</v>
      </c>
    </row>
    <row r="744" spans="1:11">
      <c r="A744" t="s">
        <v>1229</v>
      </c>
      <c r="B744" s="1">
        <v>45981</v>
      </c>
      <c r="C744" t="s">
        <v>73</v>
      </c>
      <c r="D744" t="s">
        <v>26</v>
      </c>
      <c r="E744" t="s">
        <v>21</v>
      </c>
      <c r="F744" t="s">
        <v>40</v>
      </c>
      <c r="G744">
        <v>1</v>
      </c>
      <c r="H744" s="2">
        <v>44.56</v>
      </c>
      <c r="I744" s="3">
        <v>0.15</v>
      </c>
      <c r="J744" s="2">
        <v>37.880000000000003</v>
      </c>
      <c r="K744" t="s">
        <v>79</v>
      </c>
    </row>
    <row r="745" spans="1:11">
      <c r="A745" t="s">
        <v>1230</v>
      </c>
      <c r="B745" s="1">
        <v>45658</v>
      </c>
      <c r="C745" t="s">
        <v>776</v>
      </c>
      <c r="D745" t="s">
        <v>30</v>
      </c>
      <c r="E745" t="s">
        <v>17</v>
      </c>
      <c r="F745" t="s">
        <v>23</v>
      </c>
      <c r="G745">
        <v>1</v>
      </c>
      <c r="H745" s="2">
        <v>136.28</v>
      </c>
      <c r="I745" s="3">
        <v>0</v>
      </c>
      <c r="J745" s="2">
        <v>136.28</v>
      </c>
      <c r="K745" t="s">
        <v>61</v>
      </c>
    </row>
    <row r="746" spans="1:11">
      <c r="A746" t="s">
        <v>1231</v>
      </c>
      <c r="B746" s="1">
        <v>45681</v>
      </c>
      <c r="C746" t="s">
        <v>1232</v>
      </c>
      <c r="D746" t="s">
        <v>22</v>
      </c>
      <c r="E746" t="s">
        <v>25</v>
      </c>
      <c r="F746" t="s">
        <v>36</v>
      </c>
      <c r="G746">
        <v>1</v>
      </c>
      <c r="H746" s="2">
        <v>99.32</v>
      </c>
      <c r="I746" s="3">
        <v>0</v>
      </c>
      <c r="J746" s="2">
        <v>99.32</v>
      </c>
      <c r="K746" t="s">
        <v>56</v>
      </c>
    </row>
    <row r="747" spans="1:11">
      <c r="A747" t="s">
        <v>1233</v>
      </c>
      <c r="B747" s="1">
        <v>45802</v>
      </c>
      <c r="C747" t="s">
        <v>122</v>
      </c>
      <c r="D747" t="s">
        <v>26</v>
      </c>
      <c r="E747" t="s">
        <v>33</v>
      </c>
      <c r="F747" t="s">
        <v>34</v>
      </c>
      <c r="G747">
        <v>2</v>
      </c>
      <c r="H747" s="2">
        <v>27.6</v>
      </c>
      <c r="I747" s="3">
        <v>0.15</v>
      </c>
      <c r="J747" s="2">
        <v>46.92</v>
      </c>
      <c r="K747" t="s">
        <v>79</v>
      </c>
    </row>
    <row r="748" spans="1:11">
      <c r="A748" t="s">
        <v>1234</v>
      </c>
      <c r="B748" s="1">
        <v>45716</v>
      </c>
      <c r="C748" t="s">
        <v>1235</v>
      </c>
      <c r="D748" t="s">
        <v>22</v>
      </c>
      <c r="E748" t="s">
        <v>29</v>
      </c>
      <c r="F748" t="s">
        <v>92</v>
      </c>
      <c r="G748">
        <v>1</v>
      </c>
      <c r="H748" s="2">
        <v>53.94</v>
      </c>
      <c r="I748" s="3">
        <v>0.15</v>
      </c>
      <c r="J748" s="2">
        <v>45.85</v>
      </c>
      <c r="K748" t="s">
        <v>79</v>
      </c>
    </row>
    <row r="749" spans="1:11">
      <c r="A749" t="s">
        <v>1236</v>
      </c>
      <c r="B749" s="1">
        <v>45827</v>
      </c>
      <c r="C749" t="s">
        <v>305</v>
      </c>
      <c r="D749" t="s">
        <v>22</v>
      </c>
      <c r="E749" t="s">
        <v>25</v>
      </c>
      <c r="F749" t="s">
        <v>36</v>
      </c>
      <c r="G749">
        <v>3</v>
      </c>
      <c r="H749" s="2">
        <v>89.72</v>
      </c>
      <c r="I749" s="3">
        <v>0.1</v>
      </c>
      <c r="J749" s="2">
        <v>242.24</v>
      </c>
      <c r="K749" t="s">
        <v>61</v>
      </c>
    </row>
    <row r="750" spans="1:11">
      <c r="A750" t="s">
        <v>1237</v>
      </c>
      <c r="B750" s="1">
        <v>45737</v>
      </c>
      <c r="C750" t="s">
        <v>579</v>
      </c>
      <c r="D750" t="s">
        <v>30</v>
      </c>
      <c r="E750" t="s">
        <v>29</v>
      </c>
      <c r="F750" t="s">
        <v>92</v>
      </c>
      <c r="G750">
        <v>1</v>
      </c>
      <c r="H750" s="2">
        <v>62.45</v>
      </c>
      <c r="I750" s="3">
        <v>0.05</v>
      </c>
      <c r="J750" s="2">
        <v>59.33</v>
      </c>
      <c r="K750" t="s">
        <v>56</v>
      </c>
    </row>
    <row r="751" spans="1:11">
      <c r="A751" t="s">
        <v>1238</v>
      </c>
      <c r="B751" s="1">
        <v>45686</v>
      </c>
      <c r="C751" t="s">
        <v>1183</v>
      </c>
      <c r="D751" t="s">
        <v>18</v>
      </c>
      <c r="E751" t="s">
        <v>21</v>
      </c>
      <c r="F751" t="s">
        <v>71</v>
      </c>
      <c r="G751">
        <v>1</v>
      </c>
      <c r="H751" s="2">
        <v>75.16</v>
      </c>
      <c r="I751" s="3">
        <v>0.05</v>
      </c>
      <c r="J751" s="2">
        <v>71.400000000000006</v>
      </c>
      <c r="K751" t="s">
        <v>79</v>
      </c>
    </row>
    <row r="752" spans="1:11">
      <c r="A752" t="s">
        <v>1239</v>
      </c>
      <c r="B752" s="1">
        <v>45953</v>
      </c>
      <c r="C752" t="s">
        <v>421</v>
      </c>
      <c r="D752" t="s">
        <v>22</v>
      </c>
      <c r="E752" t="s">
        <v>29</v>
      </c>
      <c r="F752" t="s">
        <v>92</v>
      </c>
      <c r="G752">
        <v>1</v>
      </c>
      <c r="H752" s="2">
        <v>63.38</v>
      </c>
      <c r="I752" s="3">
        <v>0.05</v>
      </c>
      <c r="J752" s="2">
        <v>60.21</v>
      </c>
      <c r="K752" t="s">
        <v>61</v>
      </c>
    </row>
    <row r="753" spans="1:11">
      <c r="A753" t="s">
        <v>1240</v>
      </c>
      <c r="B753" s="1">
        <v>45673</v>
      </c>
      <c r="C753" t="s">
        <v>114</v>
      </c>
      <c r="D753" t="s">
        <v>30</v>
      </c>
      <c r="E753" t="s">
        <v>25</v>
      </c>
      <c r="F753" t="s">
        <v>36</v>
      </c>
      <c r="G753">
        <v>4</v>
      </c>
      <c r="H753" s="2">
        <v>94.05</v>
      </c>
      <c r="I753" s="3">
        <v>0</v>
      </c>
      <c r="J753" s="2">
        <v>376.2</v>
      </c>
      <c r="K753" t="s">
        <v>79</v>
      </c>
    </row>
    <row r="754" spans="1:11">
      <c r="A754" t="s">
        <v>1241</v>
      </c>
      <c r="B754" s="1">
        <v>45962</v>
      </c>
      <c r="C754" t="s">
        <v>592</v>
      </c>
      <c r="D754" t="s">
        <v>26</v>
      </c>
      <c r="E754" t="s">
        <v>17</v>
      </c>
      <c r="F754" t="s">
        <v>23</v>
      </c>
      <c r="G754">
        <v>3</v>
      </c>
      <c r="H754" s="2">
        <v>141.63999999999999</v>
      </c>
      <c r="I754" s="3">
        <v>0.05</v>
      </c>
      <c r="J754" s="2">
        <v>403.67</v>
      </c>
      <c r="K754" t="s">
        <v>61</v>
      </c>
    </row>
    <row r="755" spans="1:11">
      <c r="A755" t="s">
        <v>1242</v>
      </c>
      <c r="B755" s="1">
        <v>45702</v>
      </c>
      <c r="C755" t="s">
        <v>348</v>
      </c>
      <c r="D755" t="s">
        <v>26</v>
      </c>
      <c r="E755" t="s">
        <v>21</v>
      </c>
      <c r="F755" t="s">
        <v>40</v>
      </c>
      <c r="G755">
        <v>3</v>
      </c>
      <c r="H755" s="2">
        <v>47.66</v>
      </c>
      <c r="I755" s="3">
        <v>0.05</v>
      </c>
      <c r="J755" s="2">
        <v>135.83000000000001</v>
      </c>
      <c r="K755" t="s">
        <v>79</v>
      </c>
    </row>
    <row r="756" spans="1:11">
      <c r="A756" t="s">
        <v>1243</v>
      </c>
      <c r="B756" s="1">
        <v>45715</v>
      </c>
      <c r="C756" t="s">
        <v>1244</v>
      </c>
      <c r="D756" t="s">
        <v>18</v>
      </c>
      <c r="E756" t="s">
        <v>25</v>
      </c>
      <c r="F756" t="s">
        <v>36</v>
      </c>
      <c r="G756">
        <v>2</v>
      </c>
      <c r="H756" s="2">
        <v>98.49</v>
      </c>
      <c r="I756" s="3">
        <v>0</v>
      </c>
      <c r="J756" s="2">
        <v>196.98</v>
      </c>
      <c r="K756" t="s">
        <v>61</v>
      </c>
    </row>
    <row r="757" spans="1:11">
      <c r="A757" t="s">
        <v>1245</v>
      </c>
      <c r="B757" s="1">
        <v>45914</v>
      </c>
      <c r="C757" t="s">
        <v>182</v>
      </c>
      <c r="D757" t="s">
        <v>26</v>
      </c>
      <c r="E757" t="s">
        <v>17</v>
      </c>
      <c r="F757" t="s">
        <v>27</v>
      </c>
      <c r="G757">
        <v>1</v>
      </c>
      <c r="H757" s="2">
        <v>68.13</v>
      </c>
      <c r="I757" s="3">
        <v>0.15</v>
      </c>
      <c r="J757" s="2">
        <v>57.91</v>
      </c>
      <c r="K757" t="s">
        <v>79</v>
      </c>
    </row>
    <row r="758" spans="1:11">
      <c r="A758" t="s">
        <v>1246</v>
      </c>
      <c r="B758" s="1">
        <v>45708</v>
      </c>
      <c r="C758" t="s">
        <v>1247</v>
      </c>
      <c r="D758" t="s">
        <v>30</v>
      </c>
      <c r="E758" t="s">
        <v>21</v>
      </c>
      <c r="F758" t="s">
        <v>71</v>
      </c>
      <c r="G758">
        <v>2</v>
      </c>
      <c r="H758" s="2">
        <v>61.67</v>
      </c>
      <c r="I758" s="3">
        <v>0</v>
      </c>
      <c r="J758" s="2">
        <v>123.34</v>
      </c>
      <c r="K758" t="s">
        <v>56</v>
      </c>
    </row>
    <row r="759" spans="1:11">
      <c r="A759" t="s">
        <v>1248</v>
      </c>
      <c r="B759" s="1">
        <v>45925</v>
      </c>
      <c r="C759" t="s">
        <v>1249</v>
      </c>
      <c r="D759" t="s">
        <v>26</v>
      </c>
      <c r="E759" t="s">
        <v>17</v>
      </c>
      <c r="F759" t="s">
        <v>23</v>
      </c>
      <c r="G759">
        <v>1</v>
      </c>
      <c r="H759" s="2">
        <v>149.34</v>
      </c>
      <c r="I759" s="3">
        <v>0.15</v>
      </c>
      <c r="J759" s="2">
        <v>126.94</v>
      </c>
      <c r="K759" t="s">
        <v>61</v>
      </c>
    </row>
    <row r="760" spans="1:11">
      <c r="A760" t="s">
        <v>1250</v>
      </c>
      <c r="B760" s="1">
        <v>45681</v>
      </c>
      <c r="C760" t="s">
        <v>1251</v>
      </c>
      <c r="D760" t="s">
        <v>26</v>
      </c>
      <c r="E760" t="s">
        <v>17</v>
      </c>
      <c r="F760" t="s">
        <v>23</v>
      </c>
      <c r="G760">
        <v>1</v>
      </c>
      <c r="H760" s="2">
        <v>137.69999999999999</v>
      </c>
      <c r="I760" s="3">
        <v>0.05</v>
      </c>
      <c r="J760" s="2">
        <v>130.81</v>
      </c>
      <c r="K760" t="s">
        <v>56</v>
      </c>
    </row>
    <row r="761" spans="1:11">
      <c r="A761" t="s">
        <v>1252</v>
      </c>
      <c r="B761" s="1">
        <v>45765</v>
      </c>
      <c r="C761" t="s">
        <v>512</v>
      </c>
      <c r="D761" t="s">
        <v>30</v>
      </c>
      <c r="E761" t="s">
        <v>25</v>
      </c>
      <c r="F761" t="s">
        <v>36</v>
      </c>
      <c r="G761">
        <v>1</v>
      </c>
      <c r="H761" s="2">
        <v>84.07</v>
      </c>
      <c r="I761" s="3">
        <v>0.15</v>
      </c>
      <c r="J761" s="2">
        <v>71.459999999999994</v>
      </c>
      <c r="K761" t="s">
        <v>56</v>
      </c>
    </row>
    <row r="762" spans="1:11">
      <c r="A762" t="s">
        <v>1253</v>
      </c>
      <c r="B762" s="1">
        <v>45718</v>
      </c>
      <c r="C762" t="s">
        <v>1254</v>
      </c>
      <c r="D762" t="s">
        <v>18</v>
      </c>
      <c r="E762" t="s">
        <v>33</v>
      </c>
      <c r="F762" t="s">
        <v>34</v>
      </c>
      <c r="G762">
        <v>1</v>
      </c>
      <c r="H762" s="2">
        <v>27.27</v>
      </c>
      <c r="I762" s="3">
        <v>0</v>
      </c>
      <c r="J762" s="2">
        <v>27.27</v>
      </c>
      <c r="K762" t="s">
        <v>79</v>
      </c>
    </row>
    <row r="763" spans="1:11">
      <c r="A763" t="s">
        <v>1255</v>
      </c>
      <c r="B763" s="1">
        <v>45935</v>
      </c>
      <c r="C763" t="s">
        <v>1256</v>
      </c>
      <c r="D763" t="s">
        <v>22</v>
      </c>
      <c r="E763" t="s">
        <v>25</v>
      </c>
      <c r="F763" t="s">
        <v>36</v>
      </c>
      <c r="G763">
        <v>1</v>
      </c>
      <c r="H763" s="2">
        <v>83.61</v>
      </c>
      <c r="I763" s="3">
        <v>0.05</v>
      </c>
      <c r="J763" s="2">
        <v>79.430000000000007</v>
      </c>
      <c r="K763" t="s">
        <v>79</v>
      </c>
    </row>
    <row r="764" spans="1:11">
      <c r="A764" t="s">
        <v>1257</v>
      </c>
      <c r="B764" s="1">
        <v>45694</v>
      </c>
      <c r="C764" t="s">
        <v>864</v>
      </c>
      <c r="D764" t="s">
        <v>22</v>
      </c>
      <c r="E764" t="s">
        <v>33</v>
      </c>
      <c r="F764" t="s">
        <v>34</v>
      </c>
      <c r="G764">
        <v>2</v>
      </c>
      <c r="H764" s="2">
        <v>27.89</v>
      </c>
      <c r="I764" s="3">
        <v>0.1</v>
      </c>
      <c r="J764" s="2">
        <v>50.2</v>
      </c>
      <c r="K764" t="s">
        <v>79</v>
      </c>
    </row>
    <row r="765" spans="1:11">
      <c r="A765" t="s">
        <v>1258</v>
      </c>
      <c r="B765" s="1">
        <v>45899</v>
      </c>
      <c r="C765" t="s">
        <v>1259</v>
      </c>
      <c r="D765" t="s">
        <v>30</v>
      </c>
      <c r="E765" t="s">
        <v>29</v>
      </c>
      <c r="F765" t="s">
        <v>92</v>
      </c>
      <c r="G765">
        <v>1</v>
      </c>
      <c r="H765" s="2">
        <v>53.71</v>
      </c>
      <c r="I765" s="3">
        <v>0</v>
      </c>
      <c r="J765" s="2">
        <v>53.71</v>
      </c>
      <c r="K765" t="s">
        <v>79</v>
      </c>
    </row>
    <row r="766" spans="1:11">
      <c r="A766" t="s">
        <v>1260</v>
      </c>
      <c r="B766" s="1">
        <v>46018</v>
      </c>
      <c r="C766" t="s">
        <v>644</v>
      </c>
      <c r="D766" t="s">
        <v>26</v>
      </c>
      <c r="E766" t="s">
        <v>29</v>
      </c>
      <c r="F766" t="s">
        <v>68</v>
      </c>
      <c r="G766">
        <v>3</v>
      </c>
      <c r="H766" s="2">
        <v>47.6</v>
      </c>
      <c r="I766" s="3">
        <v>0.1</v>
      </c>
      <c r="J766" s="2">
        <v>128.52000000000001</v>
      </c>
      <c r="K766" t="s">
        <v>61</v>
      </c>
    </row>
    <row r="767" spans="1:11">
      <c r="A767" t="s">
        <v>1261</v>
      </c>
      <c r="B767" s="1">
        <v>45759</v>
      </c>
      <c r="C767" t="s">
        <v>314</v>
      </c>
      <c r="D767" t="s">
        <v>22</v>
      </c>
      <c r="E767" t="s">
        <v>25</v>
      </c>
      <c r="F767" t="s">
        <v>78</v>
      </c>
      <c r="G767">
        <v>2</v>
      </c>
      <c r="H767" s="2">
        <v>43.57</v>
      </c>
      <c r="I767" s="3">
        <v>0</v>
      </c>
      <c r="J767" s="2">
        <v>87.14</v>
      </c>
      <c r="K767" t="s">
        <v>79</v>
      </c>
    </row>
    <row r="768" spans="1:11">
      <c r="A768" t="s">
        <v>1262</v>
      </c>
      <c r="B768" s="1">
        <v>46015</v>
      </c>
      <c r="C768" t="s">
        <v>260</v>
      </c>
      <c r="D768" t="s">
        <v>22</v>
      </c>
      <c r="E768" t="s">
        <v>21</v>
      </c>
      <c r="F768" t="s">
        <v>40</v>
      </c>
      <c r="G768">
        <v>1</v>
      </c>
      <c r="H768" s="2">
        <v>46.67</v>
      </c>
      <c r="I768" s="3">
        <v>0.1</v>
      </c>
      <c r="J768" s="2">
        <v>42</v>
      </c>
      <c r="K768" t="s">
        <v>79</v>
      </c>
    </row>
    <row r="769" spans="1:11">
      <c r="A769" t="s">
        <v>1263</v>
      </c>
      <c r="B769" s="1">
        <v>45731</v>
      </c>
      <c r="C769" t="s">
        <v>112</v>
      </c>
      <c r="D769" t="s">
        <v>26</v>
      </c>
      <c r="E769" t="s">
        <v>29</v>
      </c>
      <c r="F769" t="s">
        <v>68</v>
      </c>
      <c r="G769">
        <v>1</v>
      </c>
      <c r="H769" s="2">
        <v>43.65</v>
      </c>
      <c r="I769" s="3">
        <v>0</v>
      </c>
      <c r="J769" s="2">
        <v>43.65</v>
      </c>
      <c r="K769" t="s">
        <v>61</v>
      </c>
    </row>
    <row r="770" spans="1:11">
      <c r="A770" t="s">
        <v>1264</v>
      </c>
      <c r="B770" s="1">
        <v>45907</v>
      </c>
      <c r="C770" t="s">
        <v>286</v>
      </c>
      <c r="D770" t="s">
        <v>22</v>
      </c>
      <c r="E770" t="s">
        <v>17</v>
      </c>
      <c r="F770" t="s">
        <v>19</v>
      </c>
      <c r="G770">
        <v>1</v>
      </c>
      <c r="H770" s="2">
        <v>70.09</v>
      </c>
      <c r="I770" s="3">
        <v>0.1</v>
      </c>
      <c r="J770" s="2">
        <v>63.08</v>
      </c>
      <c r="K770" t="s">
        <v>61</v>
      </c>
    </row>
    <row r="771" spans="1:11">
      <c r="A771" t="s">
        <v>1265</v>
      </c>
      <c r="B771" s="1">
        <v>45836</v>
      </c>
      <c r="C771" t="s">
        <v>627</v>
      </c>
      <c r="D771" t="s">
        <v>26</v>
      </c>
      <c r="E771" t="s">
        <v>29</v>
      </c>
      <c r="F771" t="s">
        <v>68</v>
      </c>
      <c r="G771">
        <v>2</v>
      </c>
      <c r="H771" s="2">
        <v>45.79</v>
      </c>
      <c r="I771" s="3">
        <v>0.1</v>
      </c>
      <c r="J771" s="2">
        <v>82.42</v>
      </c>
      <c r="K771" t="s">
        <v>56</v>
      </c>
    </row>
    <row r="772" spans="1:11">
      <c r="A772" t="s">
        <v>1266</v>
      </c>
      <c r="B772" s="1">
        <v>45990</v>
      </c>
      <c r="C772" t="s">
        <v>1267</v>
      </c>
      <c r="D772" t="s">
        <v>22</v>
      </c>
      <c r="E772" t="s">
        <v>17</v>
      </c>
      <c r="F772" t="s">
        <v>23</v>
      </c>
      <c r="G772">
        <v>2</v>
      </c>
      <c r="H772" s="2">
        <v>132.33000000000001</v>
      </c>
      <c r="I772" s="3">
        <v>0.1</v>
      </c>
      <c r="J772" s="2">
        <v>238.19</v>
      </c>
      <c r="K772" t="s">
        <v>56</v>
      </c>
    </row>
    <row r="773" spans="1:11">
      <c r="A773" t="s">
        <v>1268</v>
      </c>
      <c r="B773" s="1">
        <v>45782</v>
      </c>
      <c r="C773" t="s">
        <v>1269</v>
      </c>
      <c r="D773" t="s">
        <v>22</v>
      </c>
      <c r="E773" t="s">
        <v>21</v>
      </c>
      <c r="F773" t="s">
        <v>71</v>
      </c>
      <c r="G773">
        <v>1</v>
      </c>
      <c r="H773" s="2">
        <v>69.63</v>
      </c>
      <c r="I773" s="3">
        <v>0</v>
      </c>
      <c r="J773" s="2">
        <v>69.63</v>
      </c>
      <c r="K773" t="s">
        <v>56</v>
      </c>
    </row>
    <row r="774" spans="1:11">
      <c r="A774" t="s">
        <v>1270</v>
      </c>
      <c r="B774" s="1">
        <v>45960</v>
      </c>
      <c r="C774" t="s">
        <v>836</v>
      </c>
      <c r="D774" t="s">
        <v>22</v>
      </c>
      <c r="E774" t="s">
        <v>25</v>
      </c>
      <c r="F774" t="s">
        <v>38</v>
      </c>
      <c r="G774">
        <v>2</v>
      </c>
      <c r="H774" s="2">
        <v>118.25</v>
      </c>
      <c r="I774" s="3">
        <v>0.05</v>
      </c>
      <c r="J774" s="2">
        <v>224.67</v>
      </c>
      <c r="K774" t="s">
        <v>79</v>
      </c>
    </row>
    <row r="775" spans="1:11">
      <c r="A775" t="s">
        <v>1271</v>
      </c>
      <c r="B775" s="1">
        <v>45997</v>
      </c>
      <c r="C775" t="s">
        <v>128</v>
      </c>
      <c r="D775" t="s">
        <v>18</v>
      </c>
      <c r="E775" t="s">
        <v>29</v>
      </c>
      <c r="F775" t="s">
        <v>92</v>
      </c>
      <c r="G775">
        <v>1</v>
      </c>
      <c r="H775" s="2">
        <v>63.65</v>
      </c>
      <c r="I775" s="3">
        <v>0.15</v>
      </c>
      <c r="J775" s="2">
        <v>54.1</v>
      </c>
      <c r="K775" t="s">
        <v>56</v>
      </c>
    </row>
    <row r="776" spans="1:11">
      <c r="A776" t="s">
        <v>1272</v>
      </c>
      <c r="B776" s="1">
        <v>45963</v>
      </c>
      <c r="C776" t="s">
        <v>1273</v>
      </c>
      <c r="D776" t="s">
        <v>26</v>
      </c>
      <c r="E776" t="s">
        <v>21</v>
      </c>
      <c r="F776" t="s">
        <v>40</v>
      </c>
      <c r="G776">
        <v>1</v>
      </c>
      <c r="H776" s="2">
        <v>43.23</v>
      </c>
      <c r="I776" s="3">
        <v>0.1</v>
      </c>
      <c r="J776" s="2">
        <v>38.909999999999997</v>
      </c>
      <c r="K776" t="s">
        <v>61</v>
      </c>
    </row>
    <row r="777" spans="1:11">
      <c r="A777" t="s">
        <v>1274</v>
      </c>
      <c r="B777" s="1">
        <v>45693</v>
      </c>
      <c r="C777" t="s">
        <v>565</v>
      </c>
      <c r="D777" t="s">
        <v>30</v>
      </c>
      <c r="E777" t="s">
        <v>29</v>
      </c>
      <c r="F777" t="s">
        <v>68</v>
      </c>
      <c r="G777">
        <v>1</v>
      </c>
      <c r="H777" s="2">
        <v>50.34</v>
      </c>
      <c r="I777" s="3">
        <v>0.1</v>
      </c>
      <c r="J777" s="2">
        <v>45.31</v>
      </c>
      <c r="K777" t="s">
        <v>56</v>
      </c>
    </row>
    <row r="778" spans="1:11">
      <c r="A778" t="s">
        <v>1275</v>
      </c>
      <c r="B778" s="1">
        <v>45996</v>
      </c>
      <c r="C778" t="s">
        <v>1276</v>
      </c>
      <c r="D778" t="s">
        <v>22</v>
      </c>
      <c r="E778" t="s">
        <v>17</v>
      </c>
      <c r="F778" t="s">
        <v>19</v>
      </c>
      <c r="G778">
        <v>1</v>
      </c>
      <c r="H778" s="2">
        <v>88.45</v>
      </c>
      <c r="I778" s="3">
        <v>0.15</v>
      </c>
      <c r="J778" s="2">
        <v>75.180000000000007</v>
      </c>
      <c r="K778" t="s">
        <v>56</v>
      </c>
    </row>
    <row r="779" spans="1:11">
      <c r="A779" t="s">
        <v>1277</v>
      </c>
      <c r="B779" s="1">
        <v>45734</v>
      </c>
      <c r="C779" t="s">
        <v>294</v>
      </c>
      <c r="D779" t="s">
        <v>22</v>
      </c>
      <c r="E779" t="s">
        <v>21</v>
      </c>
      <c r="F779" t="s">
        <v>40</v>
      </c>
      <c r="G779">
        <v>1</v>
      </c>
      <c r="H779" s="2">
        <v>47.96</v>
      </c>
      <c r="I779" s="3">
        <v>0.15</v>
      </c>
      <c r="J779" s="2">
        <v>40.770000000000003</v>
      </c>
      <c r="K779" t="s">
        <v>79</v>
      </c>
    </row>
    <row r="780" spans="1:11">
      <c r="A780" t="s">
        <v>1278</v>
      </c>
      <c r="B780" s="1">
        <v>46006</v>
      </c>
      <c r="C780" t="s">
        <v>475</v>
      </c>
      <c r="D780" t="s">
        <v>26</v>
      </c>
      <c r="E780" t="s">
        <v>25</v>
      </c>
      <c r="F780" t="s">
        <v>36</v>
      </c>
      <c r="G780">
        <v>1</v>
      </c>
      <c r="H780" s="2">
        <v>98.98</v>
      </c>
      <c r="I780" s="3">
        <v>0.05</v>
      </c>
      <c r="J780" s="2">
        <v>94.03</v>
      </c>
      <c r="K780" t="s">
        <v>79</v>
      </c>
    </row>
    <row r="781" spans="1:11">
      <c r="A781" t="s">
        <v>1279</v>
      </c>
      <c r="B781" s="1">
        <v>45956</v>
      </c>
      <c r="C781" t="s">
        <v>947</v>
      </c>
      <c r="D781" t="s">
        <v>18</v>
      </c>
      <c r="E781" t="s">
        <v>17</v>
      </c>
      <c r="F781" t="s">
        <v>19</v>
      </c>
      <c r="G781">
        <v>2</v>
      </c>
      <c r="H781" s="2">
        <v>80.459999999999994</v>
      </c>
      <c r="I781" s="3">
        <v>0</v>
      </c>
      <c r="J781" s="2">
        <v>160.91999999999999</v>
      </c>
      <c r="K781" t="s">
        <v>61</v>
      </c>
    </row>
    <row r="782" spans="1:11">
      <c r="A782" t="s">
        <v>1280</v>
      </c>
      <c r="B782" s="1">
        <v>45939</v>
      </c>
      <c r="C782" t="s">
        <v>89</v>
      </c>
      <c r="D782" t="s">
        <v>26</v>
      </c>
      <c r="E782" t="s">
        <v>17</v>
      </c>
      <c r="F782" t="s">
        <v>19</v>
      </c>
      <c r="G782">
        <v>1</v>
      </c>
      <c r="H782" s="2">
        <v>81.75</v>
      </c>
      <c r="I782" s="3">
        <v>0.05</v>
      </c>
      <c r="J782" s="2">
        <v>77.66</v>
      </c>
      <c r="K782" t="s">
        <v>79</v>
      </c>
    </row>
    <row r="783" spans="1:11">
      <c r="A783" t="s">
        <v>1281</v>
      </c>
      <c r="B783" s="1">
        <v>45778</v>
      </c>
      <c r="C783" t="s">
        <v>1158</v>
      </c>
      <c r="D783" t="s">
        <v>30</v>
      </c>
      <c r="E783" t="s">
        <v>25</v>
      </c>
      <c r="F783" t="s">
        <v>38</v>
      </c>
      <c r="G783">
        <v>2</v>
      </c>
      <c r="H783" s="2">
        <v>116.63</v>
      </c>
      <c r="I783" s="3">
        <v>0.05</v>
      </c>
      <c r="J783" s="2">
        <v>221.6</v>
      </c>
      <c r="K783" t="s">
        <v>61</v>
      </c>
    </row>
    <row r="784" spans="1:11">
      <c r="A784" t="s">
        <v>1282</v>
      </c>
      <c r="B784" s="1">
        <v>45880</v>
      </c>
      <c r="C784" t="s">
        <v>860</v>
      </c>
      <c r="D784" t="s">
        <v>30</v>
      </c>
      <c r="E784" t="s">
        <v>21</v>
      </c>
      <c r="F784" t="s">
        <v>71</v>
      </c>
      <c r="G784">
        <v>1</v>
      </c>
      <c r="H784" s="2">
        <v>62.6</v>
      </c>
      <c r="I784" s="3">
        <v>0</v>
      </c>
      <c r="J784" s="2">
        <v>62.6</v>
      </c>
      <c r="K784" t="s">
        <v>61</v>
      </c>
    </row>
    <row r="785" spans="1:11">
      <c r="A785" t="s">
        <v>1283</v>
      </c>
      <c r="B785" s="1">
        <v>45871</v>
      </c>
      <c r="C785" t="s">
        <v>1002</v>
      </c>
      <c r="D785" t="s">
        <v>18</v>
      </c>
      <c r="E785" t="s">
        <v>17</v>
      </c>
      <c r="F785" t="s">
        <v>27</v>
      </c>
      <c r="G785">
        <v>1</v>
      </c>
      <c r="H785" s="2">
        <v>67.14</v>
      </c>
      <c r="I785" s="3">
        <v>0</v>
      </c>
      <c r="J785" s="2">
        <v>67.14</v>
      </c>
      <c r="K785" t="s">
        <v>79</v>
      </c>
    </row>
    <row r="786" spans="1:11">
      <c r="A786" t="s">
        <v>1284</v>
      </c>
      <c r="B786" s="1">
        <v>45989</v>
      </c>
      <c r="C786" t="s">
        <v>1102</v>
      </c>
      <c r="D786" t="s">
        <v>18</v>
      </c>
      <c r="E786" t="s">
        <v>17</v>
      </c>
      <c r="F786" t="s">
        <v>19</v>
      </c>
      <c r="G786">
        <v>1</v>
      </c>
      <c r="H786" s="2">
        <v>90.22</v>
      </c>
      <c r="I786" s="3">
        <v>0.1</v>
      </c>
      <c r="J786" s="2">
        <v>81.2</v>
      </c>
      <c r="K786" t="s">
        <v>79</v>
      </c>
    </row>
    <row r="787" spans="1:11">
      <c r="A787" t="s">
        <v>1285</v>
      </c>
      <c r="B787" s="1">
        <v>45986</v>
      </c>
      <c r="C787" t="s">
        <v>188</v>
      </c>
      <c r="D787" t="s">
        <v>22</v>
      </c>
      <c r="E787" t="s">
        <v>25</v>
      </c>
      <c r="F787" t="s">
        <v>38</v>
      </c>
      <c r="G787">
        <v>3</v>
      </c>
      <c r="H787" s="2">
        <v>136.24</v>
      </c>
      <c r="I787" s="3">
        <v>0.15</v>
      </c>
      <c r="J787" s="2">
        <v>347.41</v>
      </c>
      <c r="K787" t="s">
        <v>61</v>
      </c>
    </row>
    <row r="788" spans="1:11">
      <c r="A788" t="s">
        <v>1286</v>
      </c>
      <c r="B788" s="1">
        <v>45918</v>
      </c>
      <c r="C788" t="s">
        <v>255</v>
      </c>
      <c r="D788" t="s">
        <v>22</v>
      </c>
      <c r="E788" t="s">
        <v>25</v>
      </c>
      <c r="F788" t="s">
        <v>38</v>
      </c>
      <c r="G788">
        <v>2</v>
      </c>
      <c r="H788" s="2">
        <v>118.82</v>
      </c>
      <c r="I788" s="3">
        <v>0.05</v>
      </c>
      <c r="J788" s="2">
        <v>225.76</v>
      </c>
      <c r="K788" t="s">
        <v>61</v>
      </c>
    </row>
    <row r="789" spans="1:11">
      <c r="A789" t="s">
        <v>1287</v>
      </c>
      <c r="B789" s="1">
        <v>45967</v>
      </c>
      <c r="C789" t="s">
        <v>540</v>
      </c>
      <c r="D789" t="s">
        <v>26</v>
      </c>
      <c r="E789" t="s">
        <v>17</v>
      </c>
      <c r="F789" t="s">
        <v>19</v>
      </c>
      <c r="G789">
        <v>2</v>
      </c>
      <c r="H789" s="2">
        <v>89.23</v>
      </c>
      <c r="I789" s="3">
        <v>0</v>
      </c>
      <c r="J789" s="2">
        <v>178.46</v>
      </c>
      <c r="K789" t="s">
        <v>61</v>
      </c>
    </row>
    <row r="790" spans="1:11">
      <c r="A790" t="s">
        <v>1288</v>
      </c>
      <c r="B790" s="1">
        <v>45937</v>
      </c>
      <c r="C790" t="s">
        <v>318</v>
      </c>
      <c r="D790" t="s">
        <v>26</v>
      </c>
      <c r="E790" t="s">
        <v>29</v>
      </c>
      <c r="F790" t="s">
        <v>68</v>
      </c>
      <c r="G790">
        <v>1</v>
      </c>
      <c r="H790" s="2">
        <v>52.78</v>
      </c>
      <c r="I790" s="3">
        <v>0.15</v>
      </c>
      <c r="J790" s="2">
        <v>44.86</v>
      </c>
      <c r="K790" t="s">
        <v>79</v>
      </c>
    </row>
    <row r="791" spans="1:11">
      <c r="A791" t="s">
        <v>1289</v>
      </c>
      <c r="B791" s="1">
        <v>45955</v>
      </c>
      <c r="C791" t="s">
        <v>1290</v>
      </c>
      <c r="D791" t="s">
        <v>30</v>
      </c>
      <c r="E791" t="s">
        <v>21</v>
      </c>
      <c r="F791" t="s">
        <v>40</v>
      </c>
      <c r="G791">
        <v>4</v>
      </c>
      <c r="H791" s="2">
        <v>42.94</v>
      </c>
      <c r="I791" s="3">
        <v>0.15</v>
      </c>
      <c r="J791" s="2">
        <v>146</v>
      </c>
      <c r="K791" t="s">
        <v>56</v>
      </c>
    </row>
    <row r="792" spans="1:11">
      <c r="A792" t="s">
        <v>1291</v>
      </c>
      <c r="B792" s="1">
        <v>45698</v>
      </c>
      <c r="C792" t="s">
        <v>730</v>
      </c>
      <c r="D792" t="s">
        <v>26</v>
      </c>
      <c r="E792" t="s">
        <v>21</v>
      </c>
      <c r="F792" t="s">
        <v>71</v>
      </c>
      <c r="G792">
        <v>3</v>
      </c>
      <c r="H792" s="2">
        <v>60.66</v>
      </c>
      <c r="I792" s="3">
        <v>0.1</v>
      </c>
      <c r="J792" s="2">
        <v>163.78</v>
      </c>
      <c r="K792" t="s">
        <v>56</v>
      </c>
    </row>
    <row r="793" spans="1:11">
      <c r="A793" t="s">
        <v>1292</v>
      </c>
      <c r="B793" s="1">
        <v>45685</v>
      </c>
      <c r="C793" t="s">
        <v>385</v>
      </c>
      <c r="D793" t="s">
        <v>30</v>
      </c>
      <c r="E793" t="s">
        <v>25</v>
      </c>
      <c r="F793" t="s">
        <v>36</v>
      </c>
      <c r="G793">
        <v>1</v>
      </c>
      <c r="H793" s="2">
        <v>75.97</v>
      </c>
      <c r="I793" s="3">
        <v>0.1</v>
      </c>
      <c r="J793" s="2">
        <v>68.37</v>
      </c>
      <c r="K793" t="s">
        <v>56</v>
      </c>
    </row>
    <row r="794" spans="1:11">
      <c r="A794" t="s">
        <v>1293</v>
      </c>
      <c r="B794" s="1">
        <v>45827</v>
      </c>
      <c r="C794" t="s">
        <v>1294</v>
      </c>
      <c r="D794" t="s">
        <v>22</v>
      </c>
      <c r="E794" t="s">
        <v>25</v>
      </c>
      <c r="F794" t="s">
        <v>38</v>
      </c>
      <c r="G794">
        <v>1</v>
      </c>
      <c r="H794" s="2">
        <v>139.55000000000001</v>
      </c>
      <c r="I794" s="3">
        <v>0.05</v>
      </c>
      <c r="J794" s="2">
        <v>132.57</v>
      </c>
      <c r="K794" t="s">
        <v>79</v>
      </c>
    </row>
    <row r="795" spans="1:11">
      <c r="A795" t="s">
        <v>1295</v>
      </c>
      <c r="B795" s="1">
        <v>46013</v>
      </c>
      <c r="C795" t="s">
        <v>209</v>
      </c>
      <c r="D795" t="s">
        <v>18</v>
      </c>
      <c r="E795" t="s">
        <v>29</v>
      </c>
      <c r="F795" t="s">
        <v>68</v>
      </c>
      <c r="G795">
        <v>2</v>
      </c>
      <c r="H795" s="2">
        <v>49.05</v>
      </c>
      <c r="I795" s="3">
        <v>0.15</v>
      </c>
      <c r="J795" s="2">
        <v>83.38</v>
      </c>
      <c r="K795" t="s">
        <v>56</v>
      </c>
    </row>
    <row r="796" spans="1:11">
      <c r="A796" t="s">
        <v>1296</v>
      </c>
      <c r="B796" s="1">
        <v>45900</v>
      </c>
      <c r="C796" t="s">
        <v>1297</v>
      </c>
      <c r="D796" t="s">
        <v>26</v>
      </c>
      <c r="E796" t="s">
        <v>29</v>
      </c>
      <c r="F796" t="s">
        <v>68</v>
      </c>
      <c r="G796">
        <v>1</v>
      </c>
      <c r="H796" s="2">
        <v>39.020000000000003</v>
      </c>
      <c r="I796" s="3">
        <v>0.05</v>
      </c>
      <c r="J796" s="2">
        <v>37.07</v>
      </c>
      <c r="K796" t="s">
        <v>61</v>
      </c>
    </row>
    <row r="797" spans="1:11">
      <c r="A797" t="s">
        <v>1298</v>
      </c>
      <c r="B797" s="1">
        <v>45700</v>
      </c>
      <c r="C797" t="s">
        <v>251</v>
      </c>
      <c r="D797" t="s">
        <v>22</v>
      </c>
      <c r="E797" t="s">
        <v>17</v>
      </c>
      <c r="F797" t="s">
        <v>27</v>
      </c>
      <c r="G797">
        <v>1</v>
      </c>
      <c r="H797" s="2">
        <v>66.73</v>
      </c>
      <c r="I797" s="3">
        <v>0.05</v>
      </c>
      <c r="J797" s="2">
        <v>63.39</v>
      </c>
      <c r="K797" t="s">
        <v>56</v>
      </c>
    </row>
    <row r="798" spans="1:11">
      <c r="A798" t="s">
        <v>1299</v>
      </c>
      <c r="B798" s="1">
        <v>45801</v>
      </c>
      <c r="C798" t="s">
        <v>490</v>
      </c>
      <c r="D798" t="s">
        <v>22</v>
      </c>
      <c r="E798" t="s">
        <v>33</v>
      </c>
      <c r="F798" t="s">
        <v>34</v>
      </c>
      <c r="G798">
        <v>3</v>
      </c>
      <c r="H798" s="2">
        <v>24.79</v>
      </c>
      <c r="I798" s="3">
        <v>0</v>
      </c>
      <c r="J798" s="2">
        <v>74.37</v>
      </c>
      <c r="K798" t="s">
        <v>56</v>
      </c>
    </row>
    <row r="799" spans="1:11">
      <c r="A799" t="s">
        <v>1300</v>
      </c>
      <c r="B799" s="1">
        <v>45886</v>
      </c>
      <c r="C799" t="s">
        <v>282</v>
      </c>
      <c r="D799" t="s">
        <v>22</v>
      </c>
      <c r="E799" t="s">
        <v>25</v>
      </c>
      <c r="F799" t="s">
        <v>36</v>
      </c>
      <c r="G799">
        <v>2</v>
      </c>
      <c r="H799" s="2">
        <v>83.32</v>
      </c>
      <c r="I799" s="3">
        <v>0</v>
      </c>
      <c r="J799" s="2">
        <v>166.64</v>
      </c>
      <c r="K799" t="s">
        <v>56</v>
      </c>
    </row>
    <row r="800" spans="1:11">
      <c r="A800" t="s">
        <v>1301</v>
      </c>
      <c r="B800" s="1">
        <v>45674</v>
      </c>
      <c r="C800" t="s">
        <v>981</v>
      </c>
      <c r="D800" t="s">
        <v>30</v>
      </c>
      <c r="E800" t="s">
        <v>25</v>
      </c>
      <c r="F800" t="s">
        <v>36</v>
      </c>
      <c r="G800">
        <v>4</v>
      </c>
      <c r="H800" s="2">
        <v>104.06</v>
      </c>
      <c r="I800" s="3">
        <v>0.15</v>
      </c>
      <c r="J800" s="2">
        <v>353.8</v>
      </c>
      <c r="K800" t="s">
        <v>61</v>
      </c>
    </row>
    <row r="801" spans="1:11">
      <c r="A801" t="s">
        <v>1302</v>
      </c>
      <c r="B801" s="1">
        <v>45854</v>
      </c>
      <c r="C801" t="s">
        <v>507</v>
      </c>
      <c r="D801" t="s">
        <v>26</v>
      </c>
      <c r="E801" t="s">
        <v>33</v>
      </c>
      <c r="F801" t="s">
        <v>31</v>
      </c>
      <c r="G801">
        <v>2</v>
      </c>
      <c r="H801" s="2">
        <v>80.63</v>
      </c>
      <c r="I801" s="3">
        <v>0</v>
      </c>
      <c r="J801" s="2">
        <v>161.26</v>
      </c>
      <c r="K801" t="s">
        <v>79</v>
      </c>
    </row>
    <row r="802" spans="1:11">
      <c r="A802" t="s">
        <v>1303</v>
      </c>
      <c r="B802" s="1">
        <v>45986</v>
      </c>
      <c r="C802" t="s">
        <v>1304</v>
      </c>
      <c r="D802" t="s">
        <v>30</v>
      </c>
      <c r="E802" t="s">
        <v>33</v>
      </c>
      <c r="F802" t="s">
        <v>34</v>
      </c>
      <c r="G802">
        <v>2</v>
      </c>
      <c r="H802" s="2">
        <v>25.76</v>
      </c>
      <c r="I802" s="3">
        <v>0</v>
      </c>
      <c r="J802" s="2">
        <v>51.52</v>
      </c>
      <c r="K802" t="s">
        <v>61</v>
      </c>
    </row>
    <row r="803" spans="1:11">
      <c r="A803" t="s">
        <v>1305</v>
      </c>
      <c r="B803" s="1">
        <v>45812</v>
      </c>
      <c r="C803" t="s">
        <v>1306</v>
      </c>
      <c r="D803" t="s">
        <v>30</v>
      </c>
      <c r="E803" t="s">
        <v>21</v>
      </c>
      <c r="F803" t="s">
        <v>40</v>
      </c>
      <c r="G803">
        <v>2</v>
      </c>
      <c r="H803" s="2">
        <v>53.82</v>
      </c>
      <c r="I803" s="3">
        <v>0.15</v>
      </c>
      <c r="J803" s="2">
        <v>91.49</v>
      </c>
      <c r="K803" t="s">
        <v>56</v>
      </c>
    </row>
    <row r="804" spans="1:11">
      <c r="A804" t="s">
        <v>1307</v>
      </c>
      <c r="B804" s="1">
        <v>46019</v>
      </c>
      <c r="C804" t="s">
        <v>224</v>
      </c>
      <c r="D804" t="s">
        <v>26</v>
      </c>
      <c r="E804" t="s">
        <v>25</v>
      </c>
      <c r="F804" t="s">
        <v>38</v>
      </c>
      <c r="G804">
        <v>1</v>
      </c>
      <c r="H804" s="2">
        <v>106.85</v>
      </c>
      <c r="I804" s="3">
        <v>0.1</v>
      </c>
      <c r="J804" s="2">
        <v>96.16</v>
      </c>
      <c r="K804" t="s">
        <v>61</v>
      </c>
    </row>
    <row r="805" spans="1:11">
      <c r="A805" t="s">
        <v>1308</v>
      </c>
      <c r="B805" s="1">
        <v>45853</v>
      </c>
      <c r="C805" t="s">
        <v>1309</v>
      </c>
      <c r="D805" t="s">
        <v>26</v>
      </c>
      <c r="E805" t="s">
        <v>29</v>
      </c>
      <c r="F805" t="s">
        <v>92</v>
      </c>
      <c r="G805">
        <v>1</v>
      </c>
      <c r="H805" s="2">
        <v>56.37</v>
      </c>
      <c r="I805" s="3">
        <v>0</v>
      </c>
      <c r="J805" s="2">
        <v>56.37</v>
      </c>
      <c r="K805" t="s">
        <v>61</v>
      </c>
    </row>
    <row r="806" spans="1:11">
      <c r="A806" t="s">
        <v>1310</v>
      </c>
      <c r="B806" s="1">
        <v>45970</v>
      </c>
      <c r="C806" t="s">
        <v>1311</v>
      </c>
      <c r="D806" t="s">
        <v>26</v>
      </c>
      <c r="E806" t="s">
        <v>29</v>
      </c>
      <c r="F806" t="s">
        <v>92</v>
      </c>
      <c r="G806">
        <v>3</v>
      </c>
      <c r="H806" s="2">
        <v>52.83</v>
      </c>
      <c r="I806" s="3">
        <v>0.05</v>
      </c>
      <c r="J806" s="2">
        <v>150.57</v>
      </c>
      <c r="K806" t="s">
        <v>56</v>
      </c>
    </row>
    <row r="807" spans="1:11">
      <c r="A807" t="s">
        <v>1312</v>
      </c>
      <c r="B807" s="1">
        <v>45957</v>
      </c>
      <c r="C807" t="s">
        <v>1313</v>
      </c>
      <c r="D807" t="s">
        <v>26</v>
      </c>
      <c r="E807" t="s">
        <v>25</v>
      </c>
      <c r="F807" t="s">
        <v>38</v>
      </c>
      <c r="G807">
        <v>1</v>
      </c>
      <c r="H807" s="2">
        <v>127.67</v>
      </c>
      <c r="I807" s="3">
        <v>0</v>
      </c>
      <c r="J807" s="2">
        <v>127.67</v>
      </c>
      <c r="K807" t="s">
        <v>56</v>
      </c>
    </row>
    <row r="808" spans="1:11">
      <c r="A808" t="s">
        <v>1314</v>
      </c>
      <c r="B808" s="1">
        <v>46011</v>
      </c>
      <c r="C808" t="s">
        <v>622</v>
      </c>
      <c r="D808" t="s">
        <v>18</v>
      </c>
      <c r="E808" t="s">
        <v>17</v>
      </c>
      <c r="F808" t="s">
        <v>27</v>
      </c>
      <c r="G808">
        <v>1</v>
      </c>
      <c r="H808" s="2">
        <v>50.36</v>
      </c>
      <c r="I808" s="3">
        <v>0</v>
      </c>
      <c r="J808" s="2">
        <v>50.36</v>
      </c>
      <c r="K808" t="s">
        <v>61</v>
      </c>
    </row>
    <row r="809" spans="1:11">
      <c r="A809" t="s">
        <v>1315</v>
      </c>
      <c r="B809" s="1">
        <v>45708</v>
      </c>
      <c r="C809" t="s">
        <v>1316</v>
      </c>
      <c r="D809" t="s">
        <v>26</v>
      </c>
      <c r="E809" t="s">
        <v>21</v>
      </c>
      <c r="F809" t="s">
        <v>71</v>
      </c>
      <c r="G809">
        <v>1</v>
      </c>
      <c r="H809" s="2">
        <v>68.8</v>
      </c>
      <c r="I809" s="3">
        <v>0</v>
      </c>
      <c r="J809" s="2">
        <v>68.8</v>
      </c>
      <c r="K809" t="s">
        <v>79</v>
      </c>
    </row>
    <row r="810" spans="1:11">
      <c r="A810" t="s">
        <v>1317</v>
      </c>
      <c r="B810" s="1">
        <v>45675</v>
      </c>
      <c r="C810" t="s">
        <v>1318</v>
      </c>
      <c r="D810" t="s">
        <v>18</v>
      </c>
      <c r="E810" t="s">
        <v>17</v>
      </c>
      <c r="F810" t="s">
        <v>19</v>
      </c>
      <c r="G810">
        <v>2</v>
      </c>
      <c r="H810" s="2">
        <v>68.63</v>
      </c>
      <c r="I810" s="3">
        <v>0.15</v>
      </c>
      <c r="J810" s="2">
        <v>116.67</v>
      </c>
      <c r="K810" t="s">
        <v>56</v>
      </c>
    </row>
    <row r="811" spans="1:11">
      <c r="A811" t="s">
        <v>1319</v>
      </c>
      <c r="B811" s="1">
        <v>45719</v>
      </c>
      <c r="C811" t="s">
        <v>1320</v>
      </c>
      <c r="D811" t="s">
        <v>18</v>
      </c>
      <c r="E811" t="s">
        <v>17</v>
      </c>
      <c r="F811" t="s">
        <v>23</v>
      </c>
      <c r="G811">
        <v>3</v>
      </c>
      <c r="H811" s="2">
        <v>115.18</v>
      </c>
      <c r="I811" s="3">
        <v>0.15</v>
      </c>
      <c r="J811" s="2">
        <v>293.70999999999998</v>
      </c>
      <c r="K811" t="s">
        <v>56</v>
      </c>
    </row>
    <row r="812" spans="1:11">
      <c r="A812" t="s">
        <v>1321</v>
      </c>
      <c r="B812" s="1">
        <v>45752</v>
      </c>
      <c r="C812" t="s">
        <v>748</v>
      </c>
      <c r="D812" t="s">
        <v>26</v>
      </c>
      <c r="E812" t="s">
        <v>33</v>
      </c>
      <c r="F812" t="s">
        <v>34</v>
      </c>
      <c r="G812">
        <v>1</v>
      </c>
      <c r="H812" s="2">
        <v>30.97</v>
      </c>
      <c r="I812" s="3">
        <v>0</v>
      </c>
      <c r="J812" s="2">
        <v>30.97</v>
      </c>
      <c r="K812" t="s">
        <v>61</v>
      </c>
    </row>
    <row r="813" spans="1:11">
      <c r="A813" t="s">
        <v>1322</v>
      </c>
      <c r="B813" s="1">
        <v>46012</v>
      </c>
      <c r="C813" t="s">
        <v>358</v>
      </c>
      <c r="D813" t="s">
        <v>26</v>
      </c>
      <c r="E813" t="s">
        <v>29</v>
      </c>
      <c r="F813" t="s">
        <v>92</v>
      </c>
      <c r="G813">
        <v>2</v>
      </c>
      <c r="H813" s="2">
        <v>52.62</v>
      </c>
      <c r="I813" s="3">
        <v>0</v>
      </c>
      <c r="J813" s="2">
        <v>105.24</v>
      </c>
      <c r="K813" t="s">
        <v>79</v>
      </c>
    </row>
    <row r="814" spans="1:11">
      <c r="A814" t="s">
        <v>1323</v>
      </c>
      <c r="B814" s="1">
        <v>45853</v>
      </c>
      <c r="C814" t="s">
        <v>166</v>
      </c>
      <c r="D814" t="s">
        <v>30</v>
      </c>
      <c r="E814" t="s">
        <v>25</v>
      </c>
      <c r="F814" t="s">
        <v>38</v>
      </c>
      <c r="G814">
        <v>1</v>
      </c>
      <c r="H814" s="2">
        <v>103.51</v>
      </c>
      <c r="I814" s="3">
        <v>0.05</v>
      </c>
      <c r="J814" s="2">
        <v>98.33</v>
      </c>
      <c r="K814" t="s">
        <v>79</v>
      </c>
    </row>
    <row r="815" spans="1:11">
      <c r="A815" t="s">
        <v>1324</v>
      </c>
      <c r="B815" s="1">
        <v>45909</v>
      </c>
      <c r="C815" t="s">
        <v>551</v>
      </c>
      <c r="D815" t="s">
        <v>22</v>
      </c>
      <c r="E815" t="s">
        <v>33</v>
      </c>
      <c r="F815" t="s">
        <v>31</v>
      </c>
      <c r="G815">
        <v>2</v>
      </c>
      <c r="H815" s="2">
        <v>67.260000000000005</v>
      </c>
      <c r="I815" s="3">
        <v>0.1</v>
      </c>
      <c r="J815" s="2">
        <v>121.07</v>
      </c>
      <c r="K815" t="s">
        <v>56</v>
      </c>
    </row>
    <row r="816" spans="1:11">
      <c r="A816" t="s">
        <v>1325</v>
      </c>
      <c r="B816" s="1">
        <v>45878</v>
      </c>
      <c r="C816" t="s">
        <v>1326</v>
      </c>
      <c r="D816" t="s">
        <v>18</v>
      </c>
      <c r="E816" t="s">
        <v>33</v>
      </c>
      <c r="F816" t="s">
        <v>31</v>
      </c>
      <c r="G816">
        <v>2</v>
      </c>
      <c r="H816" s="2">
        <v>65.489999999999995</v>
      </c>
      <c r="I816" s="3">
        <v>0.1</v>
      </c>
      <c r="J816" s="2">
        <v>117.88</v>
      </c>
      <c r="K816" t="s">
        <v>79</v>
      </c>
    </row>
    <row r="817" spans="1:11">
      <c r="A817" t="s">
        <v>1327</v>
      </c>
      <c r="B817" s="1">
        <v>45695</v>
      </c>
      <c r="C817" t="s">
        <v>901</v>
      </c>
      <c r="D817" t="s">
        <v>30</v>
      </c>
      <c r="E817" t="s">
        <v>17</v>
      </c>
      <c r="F817" t="s">
        <v>23</v>
      </c>
      <c r="G817">
        <v>2</v>
      </c>
      <c r="H817" s="2">
        <v>120.32</v>
      </c>
      <c r="I817" s="3">
        <v>0.1</v>
      </c>
      <c r="J817" s="2">
        <v>216.58</v>
      </c>
      <c r="K817" t="s">
        <v>79</v>
      </c>
    </row>
    <row r="818" spans="1:11">
      <c r="A818" t="s">
        <v>1328</v>
      </c>
      <c r="B818" s="1">
        <v>45992</v>
      </c>
      <c r="C818" t="s">
        <v>1329</v>
      </c>
      <c r="D818" t="s">
        <v>22</v>
      </c>
      <c r="E818" t="s">
        <v>29</v>
      </c>
      <c r="F818" t="s">
        <v>92</v>
      </c>
      <c r="G818">
        <v>1</v>
      </c>
      <c r="H818" s="2">
        <v>47.44</v>
      </c>
      <c r="I818" s="3">
        <v>0.1</v>
      </c>
      <c r="J818" s="2">
        <v>42.7</v>
      </c>
      <c r="K818" t="s">
        <v>56</v>
      </c>
    </row>
    <row r="819" spans="1:11">
      <c r="A819" t="s">
        <v>1330</v>
      </c>
      <c r="B819" s="1">
        <v>45826</v>
      </c>
      <c r="C819" t="s">
        <v>542</v>
      </c>
      <c r="D819" t="s">
        <v>30</v>
      </c>
      <c r="E819" t="s">
        <v>25</v>
      </c>
      <c r="F819" t="s">
        <v>38</v>
      </c>
      <c r="G819">
        <v>2</v>
      </c>
      <c r="H819" s="2">
        <v>121.39</v>
      </c>
      <c r="I819" s="3">
        <v>0.1</v>
      </c>
      <c r="J819" s="2">
        <v>218.5</v>
      </c>
      <c r="K819" t="s">
        <v>61</v>
      </c>
    </row>
    <row r="820" spans="1:11">
      <c r="A820" t="s">
        <v>1331</v>
      </c>
      <c r="B820" s="1">
        <v>45693</v>
      </c>
      <c r="C820" t="s">
        <v>1332</v>
      </c>
      <c r="D820" t="s">
        <v>26</v>
      </c>
      <c r="E820" t="s">
        <v>21</v>
      </c>
      <c r="F820" t="s">
        <v>71</v>
      </c>
      <c r="G820">
        <v>1</v>
      </c>
      <c r="H820" s="2">
        <v>67.400000000000006</v>
      </c>
      <c r="I820" s="3">
        <v>0.1</v>
      </c>
      <c r="J820" s="2">
        <v>60.66</v>
      </c>
      <c r="K820" t="s">
        <v>61</v>
      </c>
    </row>
    <row r="821" spans="1:11">
      <c r="A821" t="s">
        <v>1333</v>
      </c>
      <c r="B821" s="1">
        <v>46007</v>
      </c>
      <c r="C821" t="s">
        <v>742</v>
      </c>
      <c r="D821" t="s">
        <v>26</v>
      </c>
      <c r="E821" t="s">
        <v>33</v>
      </c>
      <c r="F821" t="s">
        <v>34</v>
      </c>
      <c r="G821">
        <v>1</v>
      </c>
      <c r="H821" s="2">
        <v>30.7</v>
      </c>
      <c r="I821" s="3">
        <v>0</v>
      </c>
      <c r="J821" s="2">
        <v>30.7</v>
      </c>
      <c r="K821" t="s">
        <v>79</v>
      </c>
    </row>
    <row r="822" spans="1:11">
      <c r="A822" t="s">
        <v>1334</v>
      </c>
      <c r="B822" s="1">
        <v>45893</v>
      </c>
      <c r="C822" t="s">
        <v>1046</v>
      </c>
      <c r="D822" t="s">
        <v>22</v>
      </c>
      <c r="E822" t="s">
        <v>33</v>
      </c>
      <c r="F822" t="s">
        <v>34</v>
      </c>
      <c r="G822">
        <v>2</v>
      </c>
      <c r="H822" s="2">
        <v>26.34</v>
      </c>
      <c r="I822" s="3">
        <v>0</v>
      </c>
      <c r="J822" s="2">
        <v>52.68</v>
      </c>
      <c r="K822" t="s">
        <v>61</v>
      </c>
    </row>
    <row r="823" spans="1:11">
      <c r="A823" t="s">
        <v>1335</v>
      </c>
      <c r="B823" s="1">
        <v>46014</v>
      </c>
      <c r="C823" t="s">
        <v>128</v>
      </c>
      <c r="D823" t="s">
        <v>18</v>
      </c>
      <c r="E823" t="s">
        <v>25</v>
      </c>
      <c r="F823" t="s">
        <v>38</v>
      </c>
      <c r="G823">
        <v>3</v>
      </c>
      <c r="H823" s="2">
        <v>125.91</v>
      </c>
      <c r="I823" s="3">
        <v>0.05</v>
      </c>
      <c r="J823" s="2">
        <v>358.84</v>
      </c>
      <c r="K823" t="s">
        <v>56</v>
      </c>
    </row>
    <row r="824" spans="1:11">
      <c r="A824" t="s">
        <v>1336</v>
      </c>
      <c r="B824" s="1">
        <v>45882</v>
      </c>
      <c r="C824" t="s">
        <v>1337</v>
      </c>
      <c r="D824" t="s">
        <v>30</v>
      </c>
      <c r="E824" t="s">
        <v>25</v>
      </c>
      <c r="F824" t="s">
        <v>78</v>
      </c>
      <c r="G824">
        <v>1</v>
      </c>
      <c r="H824" s="2">
        <v>33.61</v>
      </c>
      <c r="I824" s="3">
        <v>0</v>
      </c>
      <c r="J824" s="2">
        <v>33.61</v>
      </c>
      <c r="K824" t="s">
        <v>61</v>
      </c>
    </row>
    <row r="825" spans="1:11">
      <c r="A825" t="s">
        <v>1338</v>
      </c>
      <c r="B825" s="1">
        <v>45690</v>
      </c>
      <c r="C825" t="s">
        <v>458</v>
      </c>
      <c r="D825" t="s">
        <v>18</v>
      </c>
      <c r="E825" t="s">
        <v>21</v>
      </c>
      <c r="F825" t="s">
        <v>71</v>
      </c>
      <c r="G825">
        <v>2</v>
      </c>
      <c r="H825" s="2">
        <v>70.03</v>
      </c>
      <c r="I825" s="3">
        <v>0.1</v>
      </c>
      <c r="J825" s="2">
        <v>126.05</v>
      </c>
      <c r="K825" t="s">
        <v>61</v>
      </c>
    </row>
    <row r="826" spans="1:11">
      <c r="A826" t="s">
        <v>1339</v>
      </c>
      <c r="B826" s="1">
        <v>45686</v>
      </c>
      <c r="C826" t="s">
        <v>83</v>
      </c>
      <c r="D826" t="s">
        <v>30</v>
      </c>
      <c r="E826" t="s">
        <v>25</v>
      </c>
      <c r="F826" t="s">
        <v>36</v>
      </c>
      <c r="G826">
        <v>2</v>
      </c>
      <c r="H826" s="2">
        <v>76.91</v>
      </c>
      <c r="I826" s="3">
        <v>0</v>
      </c>
      <c r="J826" s="2">
        <v>153.82</v>
      </c>
      <c r="K826" t="s">
        <v>56</v>
      </c>
    </row>
    <row r="827" spans="1:11">
      <c r="A827" t="s">
        <v>1340</v>
      </c>
      <c r="B827" s="1">
        <v>45932</v>
      </c>
      <c r="C827" t="s">
        <v>1341</v>
      </c>
      <c r="D827" t="s">
        <v>22</v>
      </c>
      <c r="E827" t="s">
        <v>17</v>
      </c>
      <c r="F827" t="s">
        <v>27</v>
      </c>
      <c r="G827">
        <v>2</v>
      </c>
      <c r="H827" s="2">
        <v>54.69</v>
      </c>
      <c r="I827" s="3">
        <v>0</v>
      </c>
      <c r="J827" s="2">
        <v>109.38</v>
      </c>
      <c r="K827" t="s">
        <v>61</v>
      </c>
    </row>
    <row r="828" spans="1:11">
      <c r="A828" t="s">
        <v>1342</v>
      </c>
      <c r="B828" s="1">
        <v>45992</v>
      </c>
      <c r="C828" t="s">
        <v>655</v>
      </c>
      <c r="D828" t="s">
        <v>22</v>
      </c>
      <c r="E828" t="s">
        <v>17</v>
      </c>
      <c r="F828" t="s">
        <v>19</v>
      </c>
      <c r="G828">
        <v>1</v>
      </c>
      <c r="H828" s="2">
        <v>91.08</v>
      </c>
      <c r="I828" s="3">
        <v>0</v>
      </c>
      <c r="J828" s="2">
        <v>91.08</v>
      </c>
      <c r="K828" t="s">
        <v>79</v>
      </c>
    </row>
    <row r="829" spans="1:11">
      <c r="A829" t="s">
        <v>1343</v>
      </c>
      <c r="B829" s="1">
        <v>45746</v>
      </c>
      <c r="C829" t="s">
        <v>190</v>
      </c>
      <c r="D829" t="s">
        <v>22</v>
      </c>
      <c r="E829" t="s">
        <v>29</v>
      </c>
      <c r="F829" t="s">
        <v>92</v>
      </c>
      <c r="G829">
        <v>1</v>
      </c>
      <c r="H829" s="2">
        <v>52.33</v>
      </c>
      <c r="I829" s="3">
        <v>0</v>
      </c>
      <c r="J829" s="2">
        <v>52.33</v>
      </c>
      <c r="K829" t="s">
        <v>56</v>
      </c>
    </row>
    <row r="830" spans="1:11">
      <c r="A830" t="s">
        <v>1344</v>
      </c>
      <c r="B830" s="1">
        <v>45690</v>
      </c>
      <c r="C830" t="s">
        <v>1345</v>
      </c>
      <c r="D830" t="s">
        <v>18</v>
      </c>
      <c r="E830" t="s">
        <v>17</v>
      </c>
      <c r="F830" t="s">
        <v>23</v>
      </c>
      <c r="G830">
        <v>1</v>
      </c>
      <c r="H830" s="2">
        <v>134.97999999999999</v>
      </c>
      <c r="I830" s="3">
        <v>0.15</v>
      </c>
      <c r="J830" s="2">
        <v>114.73</v>
      </c>
      <c r="K830" t="s">
        <v>79</v>
      </c>
    </row>
    <row r="831" spans="1:11">
      <c r="A831" t="s">
        <v>1346</v>
      </c>
      <c r="B831" s="1">
        <v>45876</v>
      </c>
      <c r="C831" t="s">
        <v>877</v>
      </c>
      <c r="D831" t="s">
        <v>18</v>
      </c>
      <c r="E831" t="s">
        <v>25</v>
      </c>
      <c r="F831" t="s">
        <v>36</v>
      </c>
      <c r="G831">
        <v>2</v>
      </c>
      <c r="H831" s="2">
        <v>104.5</v>
      </c>
      <c r="I831" s="3">
        <v>0.1</v>
      </c>
      <c r="J831" s="2">
        <v>188.1</v>
      </c>
      <c r="K831" t="s">
        <v>56</v>
      </c>
    </row>
    <row r="832" spans="1:11">
      <c r="A832" t="s">
        <v>1347</v>
      </c>
      <c r="B832" s="1">
        <v>45952</v>
      </c>
      <c r="C832" t="s">
        <v>1348</v>
      </c>
      <c r="D832" t="s">
        <v>22</v>
      </c>
      <c r="E832" t="s">
        <v>21</v>
      </c>
      <c r="F832" t="s">
        <v>71</v>
      </c>
      <c r="G832">
        <v>1</v>
      </c>
      <c r="H832" s="2">
        <v>77.7</v>
      </c>
      <c r="I832" s="3">
        <v>0</v>
      </c>
      <c r="J832" s="2">
        <v>77.7</v>
      </c>
      <c r="K832" t="s">
        <v>61</v>
      </c>
    </row>
    <row r="833" spans="1:11">
      <c r="A833" t="s">
        <v>1349</v>
      </c>
      <c r="B833" s="1">
        <v>45690</v>
      </c>
      <c r="C833" t="s">
        <v>1350</v>
      </c>
      <c r="D833" t="s">
        <v>22</v>
      </c>
      <c r="E833" t="s">
        <v>17</v>
      </c>
      <c r="F833" t="s">
        <v>23</v>
      </c>
      <c r="G833">
        <v>1</v>
      </c>
      <c r="H833" s="2">
        <v>141.9</v>
      </c>
      <c r="I833" s="3">
        <v>0</v>
      </c>
      <c r="J833" s="2">
        <v>141.9</v>
      </c>
      <c r="K833" t="s">
        <v>61</v>
      </c>
    </row>
    <row r="834" spans="1:11">
      <c r="A834" t="s">
        <v>1351</v>
      </c>
      <c r="B834" s="1">
        <v>45782</v>
      </c>
      <c r="C834" t="s">
        <v>1352</v>
      </c>
      <c r="D834" t="s">
        <v>22</v>
      </c>
      <c r="E834" t="s">
        <v>29</v>
      </c>
      <c r="F834" t="s">
        <v>68</v>
      </c>
      <c r="G834">
        <v>1</v>
      </c>
      <c r="H834" s="2">
        <v>39.729999999999997</v>
      </c>
      <c r="I834" s="3">
        <v>0.15</v>
      </c>
      <c r="J834" s="2">
        <v>33.770000000000003</v>
      </c>
      <c r="K834" t="s">
        <v>79</v>
      </c>
    </row>
    <row r="835" spans="1:11">
      <c r="A835" t="s">
        <v>1353</v>
      </c>
      <c r="B835" s="1">
        <v>45907</v>
      </c>
      <c r="C835" t="s">
        <v>1316</v>
      </c>
      <c r="D835" t="s">
        <v>30</v>
      </c>
      <c r="E835" t="s">
        <v>17</v>
      </c>
      <c r="F835" t="s">
        <v>23</v>
      </c>
      <c r="G835">
        <v>1</v>
      </c>
      <c r="H835" s="2">
        <v>117.29</v>
      </c>
      <c r="I835" s="3">
        <v>0</v>
      </c>
      <c r="J835" s="2">
        <v>117.29</v>
      </c>
      <c r="K835" t="s">
        <v>56</v>
      </c>
    </row>
    <row r="836" spans="1:11">
      <c r="A836" t="s">
        <v>1354</v>
      </c>
      <c r="B836" s="1">
        <v>45901</v>
      </c>
      <c r="C836" t="s">
        <v>841</v>
      </c>
      <c r="D836" t="s">
        <v>30</v>
      </c>
      <c r="E836" t="s">
        <v>25</v>
      </c>
      <c r="F836" t="s">
        <v>78</v>
      </c>
      <c r="G836">
        <v>1</v>
      </c>
      <c r="H836" s="2">
        <v>34.99</v>
      </c>
      <c r="I836" s="3">
        <v>0.05</v>
      </c>
      <c r="J836" s="2">
        <v>33.24</v>
      </c>
      <c r="K836" t="s">
        <v>61</v>
      </c>
    </row>
    <row r="837" spans="1:11">
      <c r="A837" t="s">
        <v>1355</v>
      </c>
      <c r="B837" s="1">
        <v>45780</v>
      </c>
      <c r="C837" t="s">
        <v>616</v>
      </c>
      <c r="D837" t="s">
        <v>18</v>
      </c>
      <c r="E837" t="s">
        <v>17</v>
      </c>
      <c r="F837" t="s">
        <v>27</v>
      </c>
      <c r="G837">
        <v>2</v>
      </c>
      <c r="H837" s="2">
        <v>50.88</v>
      </c>
      <c r="I837" s="3">
        <v>0</v>
      </c>
      <c r="J837" s="2">
        <v>101.76</v>
      </c>
      <c r="K837" t="s">
        <v>56</v>
      </c>
    </row>
    <row r="838" spans="1:11">
      <c r="A838" t="s">
        <v>1356</v>
      </c>
      <c r="B838" s="1">
        <v>45812</v>
      </c>
      <c r="C838" t="s">
        <v>484</v>
      </c>
      <c r="D838" t="s">
        <v>18</v>
      </c>
      <c r="E838" t="s">
        <v>25</v>
      </c>
      <c r="F838" t="s">
        <v>36</v>
      </c>
      <c r="G838">
        <v>1</v>
      </c>
      <c r="H838" s="2">
        <v>92.03</v>
      </c>
      <c r="I838" s="3">
        <v>0</v>
      </c>
      <c r="J838" s="2">
        <v>92.03</v>
      </c>
      <c r="K838" t="s">
        <v>56</v>
      </c>
    </row>
    <row r="839" spans="1:11">
      <c r="A839" t="s">
        <v>1357</v>
      </c>
      <c r="B839" s="1">
        <v>45843</v>
      </c>
      <c r="C839" t="s">
        <v>1358</v>
      </c>
      <c r="D839" t="s">
        <v>18</v>
      </c>
      <c r="E839" t="s">
        <v>21</v>
      </c>
      <c r="F839" t="s">
        <v>71</v>
      </c>
      <c r="G839">
        <v>1</v>
      </c>
      <c r="H839" s="2">
        <v>69.22</v>
      </c>
      <c r="I839" s="3">
        <v>0</v>
      </c>
      <c r="J839" s="2">
        <v>69.22</v>
      </c>
      <c r="K839" t="s">
        <v>79</v>
      </c>
    </row>
    <row r="840" spans="1:11">
      <c r="A840" t="s">
        <v>1359</v>
      </c>
      <c r="B840" s="1">
        <v>45715</v>
      </c>
      <c r="C840" t="s">
        <v>312</v>
      </c>
      <c r="D840" t="s">
        <v>22</v>
      </c>
      <c r="E840" t="s">
        <v>17</v>
      </c>
      <c r="F840" t="s">
        <v>27</v>
      </c>
      <c r="G840">
        <v>2</v>
      </c>
      <c r="H840" s="2">
        <v>69.010000000000005</v>
      </c>
      <c r="I840" s="3">
        <v>0.1</v>
      </c>
      <c r="J840" s="2">
        <v>124.22</v>
      </c>
      <c r="K840" t="s">
        <v>79</v>
      </c>
    </row>
    <row r="841" spans="1:11">
      <c r="A841" t="s">
        <v>1360</v>
      </c>
      <c r="B841" s="1">
        <v>46001</v>
      </c>
      <c r="C841" t="s">
        <v>475</v>
      </c>
      <c r="D841" t="s">
        <v>26</v>
      </c>
      <c r="E841" t="s">
        <v>17</v>
      </c>
      <c r="F841" t="s">
        <v>19</v>
      </c>
      <c r="G841">
        <v>1</v>
      </c>
      <c r="H841" s="2">
        <v>76.64</v>
      </c>
      <c r="I841" s="3">
        <v>0</v>
      </c>
      <c r="J841" s="2">
        <v>76.64</v>
      </c>
      <c r="K841" t="s">
        <v>61</v>
      </c>
    </row>
    <row r="842" spans="1:11">
      <c r="A842" t="s">
        <v>1361</v>
      </c>
      <c r="B842" s="1">
        <v>45973</v>
      </c>
      <c r="C842" t="s">
        <v>1273</v>
      </c>
      <c r="D842" t="s">
        <v>22</v>
      </c>
      <c r="E842" t="s">
        <v>21</v>
      </c>
      <c r="F842" t="s">
        <v>40</v>
      </c>
      <c r="G842">
        <v>1</v>
      </c>
      <c r="H842" s="2">
        <v>53.62</v>
      </c>
      <c r="I842" s="3">
        <v>0.15</v>
      </c>
      <c r="J842" s="2">
        <v>45.58</v>
      </c>
      <c r="K842" t="s">
        <v>79</v>
      </c>
    </row>
    <row r="843" spans="1:11">
      <c r="A843" t="s">
        <v>1362</v>
      </c>
      <c r="B843" s="1">
        <v>45906</v>
      </c>
      <c r="C843" t="s">
        <v>1363</v>
      </c>
      <c r="D843" t="s">
        <v>26</v>
      </c>
      <c r="E843" t="s">
        <v>21</v>
      </c>
      <c r="F843" t="s">
        <v>71</v>
      </c>
      <c r="G843">
        <v>1</v>
      </c>
      <c r="H843" s="2">
        <v>79.03</v>
      </c>
      <c r="I843" s="3">
        <v>0.1</v>
      </c>
      <c r="J843" s="2">
        <v>71.13</v>
      </c>
      <c r="K843" t="s">
        <v>61</v>
      </c>
    </row>
    <row r="844" spans="1:11">
      <c r="A844" t="s">
        <v>1364</v>
      </c>
      <c r="B844" s="1">
        <v>45759</v>
      </c>
      <c r="C844" t="s">
        <v>1365</v>
      </c>
      <c r="D844" t="s">
        <v>22</v>
      </c>
      <c r="E844" t="s">
        <v>25</v>
      </c>
      <c r="F844" t="s">
        <v>78</v>
      </c>
      <c r="G844">
        <v>2</v>
      </c>
      <c r="H844" s="2">
        <v>37.340000000000003</v>
      </c>
      <c r="I844" s="3">
        <v>0</v>
      </c>
      <c r="J844" s="2">
        <v>74.680000000000007</v>
      </c>
      <c r="K844" t="s">
        <v>79</v>
      </c>
    </row>
    <row r="845" spans="1:11">
      <c r="A845" t="s">
        <v>1366</v>
      </c>
      <c r="B845" s="1">
        <v>45779</v>
      </c>
      <c r="C845" t="s">
        <v>358</v>
      </c>
      <c r="D845" t="s">
        <v>30</v>
      </c>
      <c r="E845" t="s">
        <v>25</v>
      </c>
      <c r="F845" t="s">
        <v>78</v>
      </c>
      <c r="G845">
        <v>1</v>
      </c>
      <c r="H845" s="2">
        <v>35.72</v>
      </c>
      <c r="I845" s="3">
        <v>0</v>
      </c>
      <c r="J845" s="2">
        <v>35.72</v>
      </c>
      <c r="K845" t="s">
        <v>56</v>
      </c>
    </row>
    <row r="846" spans="1:11">
      <c r="A846" t="s">
        <v>1367</v>
      </c>
      <c r="B846" s="1">
        <v>45906</v>
      </c>
      <c r="C846" t="s">
        <v>560</v>
      </c>
      <c r="D846" t="s">
        <v>22</v>
      </c>
      <c r="E846" t="s">
        <v>17</v>
      </c>
      <c r="F846" t="s">
        <v>19</v>
      </c>
      <c r="G846">
        <v>3</v>
      </c>
      <c r="H846" s="2">
        <v>70.930000000000007</v>
      </c>
      <c r="I846" s="3">
        <v>0.15</v>
      </c>
      <c r="J846" s="2">
        <v>180.87</v>
      </c>
      <c r="K846" t="s">
        <v>61</v>
      </c>
    </row>
    <row r="847" spans="1:11">
      <c r="A847" t="s">
        <v>1368</v>
      </c>
      <c r="B847" s="1">
        <v>45849</v>
      </c>
      <c r="C847" t="s">
        <v>649</v>
      </c>
      <c r="D847" t="s">
        <v>22</v>
      </c>
      <c r="E847" t="s">
        <v>17</v>
      </c>
      <c r="F847" t="s">
        <v>27</v>
      </c>
      <c r="G847">
        <v>1</v>
      </c>
      <c r="H847" s="2">
        <v>53.93</v>
      </c>
      <c r="I847" s="3">
        <v>0.05</v>
      </c>
      <c r="J847" s="2">
        <v>51.23</v>
      </c>
      <c r="K847" t="s">
        <v>61</v>
      </c>
    </row>
    <row r="848" spans="1:11">
      <c r="A848" t="s">
        <v>1369</v>
      </c>
      <c r="B848" s="1">
        <v>45723</v>
      </c>
      <c r="C848" t="s">
        <v>1135</v>
      </c>
      <c r="D848" t="s">
        <v>30</v>
      </c>
      <c r="E848" t="s">
        <v>17</v>
      </c>
      <c r="F848" t="s">
        <v>19</v>
      </c>
      <c r="G848">
        <v>2</v>
      </c>
      <c r="H848" s="2">
        <v>68.709999999999994</v>
      </c>
      <c r="I848" s="3">
        <v>0</v>
      </c>
      <c r="J848" s="2">
        <v>137.41999999999999</v>
      </c>
      <c r="K848" t="s">
        <v>61</v>
      </c>
    </row>
    <row r="849" spans="1:11">
      <c r="A849" t="s">
        <v>1370</v>
      </c>
      <c r="B849" s="1">
        <v>45872</v>
      </c>
      <c r="C849" t="s">
        <v>258</v>
      </c>
      <c r="D849" t="s">
        <v>22</v>
      </c>
      <c r="E849" t="s">
        <v>17</v>
      </c>
      <c r="F849" t="s">
        <v>27</v>
      </c>
      <c r="G849">
        <v>2</v>
      </c>
      <c r="H849" s="2">
        <v>54.43</v>
      </c>
      <c r="I849" s="3">
        <v>0.05</v>
      </c>
      <c r="J849" s="2">
        <v>103.42</v>
      </c>
      <c r="K849" t="s">
        <v>56</v>
      </c>
    </row>
    <row r="850" spans="1:11">
      <c r="A850" t="s">
        <v>1371</v>
      </c>
      <c r="B850" s="1">
        <v>45941</v>
      </c>
      <c r="C850" t="s">
        <v>348</v>
      </c>
      <c r="D850" t="s">
        <v>30</v>
      </c>
      <c r="E850" t="s">
        <v>33</v>
      </c>
      <c r="F850" t="s">
        <v>31</v>
      </c>
      <c r="G850">
        <v>1</v>
      </c>
      <c r="H850" s="2">
        <v>83.83</v>
      </c>
      <c r="I850" s="3">
        <v>0.1</v>
      </c>
      <c r="J850" s="2">
        <v>75.45</v>
      </c>
      <c r="K850" t="s">
        <v>61</v>
      </c>
    </row>
    <row r="851" spans="1:11">
      <c r="A851" t="s">
        <v>1372</v>
      </c>
      <c r="B851" s="1">
        <v>45800</v>
      </c>
      <c r="C851" t="s">
        <v>194</v>
      </c>
      <c r="D851" t="s">
        <v>26</v>
      </c>
      <c r="E851" t="s">
        <v>17</v>
      </c>
      <c r="F851" t="s">
        <v>19</v>
      </c>
      <c r="G851">
        <v>2</v>
      </c>
      <c r="H851" s="2">
        <v>86.34</v>
      </c>
      <c r="I851" s="3">
        <v>0</v>
      </c>
      <c r="J851" s="2">
        <v>172.68</v>
      </c>
      <c r="K851" t="s">
        <v>61</v>
      </c>
    </row>
    <row r="852" spans="1:11">
      <c r="A852" t="s">
        <v>1373</v>
      </c>
      <c r="B852" s="1">
        <v>45954</v>
      </c>
      <c r="C852" t="s">
        <v>1256</v>
      </c>
      <c r="D852" t="s">
        <v>18</v>
      </c>
      <c r="E852" t="s">
        <v>33</v>
      </c>
      <c r="F852" t="s">
        <v>31</v>
      </c>
      <c r="G852">
        <v>3</v>
      </c>
      <c r="H852" s="2">
        <v>77.349999999999994</v>
      </c>
      <c r="I852" s="3">
        <v>0</v>
      </c>
      <c r="J852" s="2">
        <v>232.05</v>
      </c>
      <c r="K852" t="s">
        <v>61</v>
      </c>
    </row>
    <row r="853" spans="1:11">
      <c r="A853" t="s">
        <v>1374</v>
      </c>
      <c r="B853" s="1">
        <v>45680</v>
      </c>
      <c r="C853" t="s">
        <v>1375</v>
      </c>
      <c r="D853" t="s">
        <v>30</v>
      </c>
      <c r="E853" t="s">
        <v>17</v>
      </c>
      <c r="F853" t="s">
        <v>19</v>
      </c>
      <c r="G853">
        <v>4</v>
      </c>
      <c r="H853" s="2">
        <v>86.27</v>
      </c>
      <c r="I853" s="3">
        <v>0.15</v>
      </c>
      <c r="J853" s="2">
        <v>293.32</v>
      </c>
      <c r="K853" t="s">
        <v>56</v>
      </c>
    </row>
    <row r="854" spans="1:11">
      <c r="A854" t="s">
        <v>1376</v>
      </c>
      <c r="B854" s="1">
        <v>45859</v>
      </c>
      <c r="C854" t="s">
        <v>772</v>
      </c>
      <c r="D854" t="s">
        <v>30</v>
      </c>
      <c r="E854" t="s">
        <v>21</v>
      </c>
      <c r="F854" t="s">
        <v>40</v>
      </c>
      <c r="G854">
        <v>2</v>
      </c>
      <c r="H854" s="2">
        <v>52.91</v>
      </c>
      <c r="I854" s="3">
        <v>0</v>
      </c>
      <c r="J854" s="2">
        <v>105.82</v>
      </c>
      <c r="K854" t="s">
        <v>79</v>
      </c>
    </row>
    <row r="855" spans="1:11">
      <c r="A855" t="s">
        <v>1377</v>
      </c>
      <c r="B855" s="1">
        <v>45700</v>
      </c>
      <c r="C855" t="s">
        <v>58</v>
      </c>
      <c r="D855" t="s">
        <v>22</v>
      </c>
      <c r="E855" t="s">
        <v>21</v>
      </c>
      <c r="F855" t="s">
        <v>71</v>
      </c>
      <c r="G855">
        <v>2</v>
      </c>
      <c r="H855" s="2">
        <v>74.430000000000007</v>
      </c>
      <c r="I855" s="3">
        <v>0.1</v>
      </c>
      <c r="J855" s="2">
        <v>133.97</v>
      </c>
      <c r="K855" t="s">
        <v>61</v>
      </c>
    </row>
    <row r="856" spans="1:11">
      <c r="A856" t="s">
        <v>1378</v>
      </c>
      <c r="B856" s="1">
        <v>45809</v>
      </c>
      <c r="C856" t="s">
        <v>728</v>
      </c>
      <c r="D856" t="s">
        <v>22</v>
      </c>
      <c r="E856" t="s">
        <v>33</v>
      </c>
      <c r="F856" t="s">
        <v>31</v>
      </c>
      <c r="G856">
        <v>2</v>
      </c>
      <c r="H856" s="2">
        <v>65.12</v>
      </c>
      <c r="I856" s="3">
        <v>0.1</v>
      </c>
      <c r="J856" s="2">
        <v>117.22</v>
      </c>
      <c r="K856" t="s">
        <v>56</v>
      </c>
    </row>
    <row r="857" spans="1:11">
      <c r="A857" t="s">
        <v>1379</v>
      </c>
      <c r="B857" s="1">
        <v>45893</v>
      </c>
      <c r="C857" t="s">
        <v>1380</v>
      </c>
      <c r="D857" t="s">
        <v>22</v>
      </c>
      <c r="E857" t="s">
        <v>29</v>
      </c>
      <c r="F857" t="s">
        <v>68</v>
      </c>
      <c r="G857">
        <v>2</v>
      </c>
      <c r="H857" s="2">
        <v>38.61</v>
      </c>
      <c r="I857" s="3">
        <v>0.1</v>
      </c>
      <c r="J857" s="2">
        <v>69.5</v>
      </c>
      <c r="K857" t="s">
        <v>56</v>
      </c>
    </row>
    <row r="858" spans="1:11">
      <c r="A858" t="s">
        <v>1381</v>
      </c>
      <c r="B858" s="1">
        <v>45865</v>
      </c>
      <c r="C858" t="s">
        <v>1382</v>
      </c>
      <c r="D858" t="s">
        <v>18</v>
      </c>
      <c r="E858" t="s">
        <v>17</v>
      </c>
      <c r="F858" t="s">
        <v>27</v>
      </c>
      <c r="G858">
        <v>2</v>
      </c>
      <c r="H858" s="2">
        <v>57.36</v>
      </c>
      <c r="I858" s="3">
        <v>0.1</v>
      </c>
      <c r="J858" s="2">
        <v>103.25</v>
      </c>
      <c r="K858" t="s">
        <v>61</v>
      </c>
    </row>
    <row r="859" spans="1:11">
      <c r="A859" t="s">
        <v>1383</v>
      </c>
      <c r="B859" s="1">
        <v>46011</v>
      </c>
      <c r="C859" t="s">
        <v>802</v>
      </c>
      <c r="D859" t="s">
        <v>22</v>
      </c>
      <c r="E859" t="s">
        <v>25</v>
      </c>
      <c r="F859" t="s">
        <v>36</v>
      </c>
      <c r="G859">
        <v>1</v>
      </c>
      <c r="H859" s="2">
        <v>84.36</v>
      </c>
      <c r="I859" s="3">
        <v>0.05</v>
      </c>
      <c r="J859" s="2">
        <v>80.14</v>
      </c>
      <c r="K859" t="s">
        <v>56</v>
      </c>
    </row>
    <row r="860" spans="1:11">
      <c r="A860" t="s">
        <v>1384</v>
      </c>
      <c r="B860" s="1">
        <v>45699</v>
      </c>
      <c r="C860" t="s">
        <v>717</v>
      </c>
      <c r="D860" t="s">
        <v>26</v>
      </c>
      <c r="E860" t="s">
        <v>29</v>
      </c>
      <c r="F860" t="s">
        <v>68</v>
      </c>
      <c r="G860">
        <v>3</v>
      </c>
      <c r="H860" s="2">
        <v>49.18</v>
      </c>
      <c r="I860" s="3">
        <v>0</v>
      </c>
      <c r="J860" s="2">
        <v>147.54</v>
      </c>
      <c r="K860" t="s">
        <v>79</v>
      </c>
    </row>
    <row r="861" spans="1:11">
      <c r="A861" t="s">
        <v>1385</v>
      </c>
      <c r="B861" s="1">
        <v>45714</v>
      </c>
      <c r="C861" t="s">
        <v>1386</v>
      </c>
      <c r="D861" t="s">
        <v>22</v>
      </c>
      <c r="E861" t="s">
        <v>25</v>
      </c>
      <c r="F861" t="s">
        <v>38</v>
      </c>
      <c r="G861">
        <v>1</v>
      </c>
      <c r="H861" s="2">
        <v>125.46</v>
      </c>
      <c r="I861" s="3">
        <v>0.05</v>
      </c>
      <c r="J861" s="2">
        <v>119.19</v>
      </c>
      <c r="K861" t="s">
        <v>56</v>
      </c>
    </row>
    <row r="862" spans="1:11">
      <c r="A862" t="s">
        <v>1387</v>
      </c>
      <c r="B862" s="1">
        <v>45944</v>
      </c>
      <c r="C862" t="s">
        <v>1188</v>
      </c>
      <c r="D862" t="s">
        <v>26</v>
      </c>
      <c r="E862" t="s">
        <v>25</v>
      </c>
      <c r="F862" t="s">
        <v>78</v>
      </c>
      <c r="G862">
        <v>1</v>
      </c>
      <c r="H862" s="2">
        <v>42.28</v>
      </c>
      <c r="I862" s="3">
        <v>0</v>
      </c>
      <c r="J862" s="2">
        <v>42.28</v>
      </c>
      <c r="K862" t="s">
        <v>79</v>
      </c>
    </row>
    <row r="863" spans="1:11">
      <c r="A863" t="s">
        <v>1388</v>
      </c>
      <c r="B863" s="1">
        <v>45934</v>
      </c>
      <c r="C863" t="s">
        <v>667</v>
      </c>
      <c r="D863" t="s">
        <v>22</v>
      </c>
      <c r="E863" t="s">
        <v>17</v>
      </c>
      <c r="F863" t="s">
        <v>23</v>
      </c>
      <c r="G863">
        <v>2</v>
      </c>
      <c r="H863" s="2">
        <v>141.04</v>
      </c>
      <c r="I863" s="3">
        <v>0.15</v>
      </c>
      <c r="J863" s="2">
        <v>239.77</v>
      </c>
      <c r="K863" t="s">
        <v>61</v>
      </c>
    </row>
    <row r="864" spans="1:11">
      <c r="A864" t="s">
        <v>1389</v>
      </c>
      <c r="B864" s="1">
        <v>45838</v>
      </c>
      <c r="C864" t="s">
        <v>690</v>
      </c>
      <c r="D864" t="s">
        <v>26</v>
      </c>
      <c r="E864" t="s">
        <v>33</v>
      </c>
      <c r="F864" t="s">
        <v>34</v>
      </c>
      <c r="G864">
        <v>1</v>
      </c>
      <c r="H864" s="2">
        <v>28.7</v>
      </c>
      <c r="I864" s="3">
        <v>0</v>
      </c>
      <c r="J864" s="2">
        <v>28.7</v>
      </c>
      <c r="K864" t="s">
        <v>61</v>
      </c>
    </row>
    <row r="865" spans="1:11">
      <c r="A865" t="s">
        <v>1390</v>
      </c>
      <c r="B865" s="1">
        <v>45889</v>
      </c>
      <c r="C865" t="s">
        <v>1032</v>
      </c>
      <c r="D865" t="s">
        <v>26</v>
      </c>
      <c r="E865" t="s">
        <v>21</v>
      </c>
      <c r="F865" t="s">
        <v>40</v>
      </c>
      <c r="G865">
        <v>1</v>
      </c>
      <c r="H865" s="2">
        <v>55.06</v>
      </c>
      <c r="I865" s="3">
        <v>0.1</v>
      </c>
      <c r="J865" s="2">
        <v>49.55</v>
      </c>
      <c r="K865" t="s">
        <v>61</v>
      </c>
    </row>
    <row r="866" spans="1:11">
      <c r="A866" t="s">
        <v>1391</v>
      </c>
      <c r="B866" s="1">
        <v>45975</v>
      </c>
      <c r="C866" t="s">
        <v>860</v>
      </c>
      <c r="D866" t="s">
        <v>30</v>
      </c>
      <c r="E866" t="s">
        <v>25</v>
      </c>
      <c r="F866" t="s">
        <v>36</v>
      </c>
      <c r="G866">
        <v>2</v>
      </c>
      <c r="H866" s="2">
        <v>103.42</v>
      </c>
      <c r="I866" s="3">
        <v>0</v>
      </c>
      <c r="J866" s="2">
        <v>206.84</v>
      </c>
      <c r="K866" t="s">
        <v>79</v>
      </c>
    </row>
    <row r="867" spans="1:11">
      <c r="A867" t="s">
        <v>1392</v>
      </c>
      <c r="B867" s="1">
        <v>45699</v>
      </c>
      <c r="C867" t="s">
        <v>551</v>
      </c>
      <c r="D867" t="s">
        <v>22</v>
      </c>
      <c r="E867" t="s">
        <v>25</v>
      </c>
      <c r="F867" t="s">
        <v>38</v>
      </c>
      <c r="G867">
        <v>3</v>
      </c>
      <c r="H867" s="2">
        <v>112.47</v>
      </c>
      <c r="I867" s="3">
        <v>0</v>
      </c>
      <c r="J867" s="2">
        <v>337.41</v>
      </c>
      <c r="K867" t="s">
        <v>61</v>
      </c>
    </row>
    <row r="868" spans="1:11">
      <c r="A868" t="s">
        <v>1393</v>
      </c>
      <c r="B868" s="1">
        <v>45715</v>
      </c>
      <c r="C868" t="s">
        <v>874</v>
      </c>
      <c r="D868" t="s">
        <v>18</v>
      </c>
      <c r="E868" t="s">
        <v>25</v>
      </c>
      <c r="F868" t="s">
        <v>78</v>
      </c>
      <c r="G868">
        <v>1</v>
      </c>
      <c r="H868" s="2">
        <v>35.090000000000003</v>
      </c>
      <c r="I868" s="3">
        <v>0</v>
      </c>
      <c r="J868" s="2">
        <v>35.090000000000003</v>
      </c>
      <c r="K868" t="s">
        <v>61</v>
      </c>
    </row>
    <row r="869" spans="1:11">
      <c r="A869" t="s">
        <v>1394</v>
      </c>
      <c r="B869" s="1">
        <v>45871</v>
      </c>
      <c r="C869" t="s">
        <v>885</v>
      </c>
      <c r="D869" t="s">
        <v>30</v>
      </c>
      <c r="E869" t="s">
        <v>29</v>
      </c>
      <c r="F869" t="s">
        <v>92</v>
      </c>
      <c r="G869">
        <v>1</v>
      </c>
      <c r="H869" s="2">
        <v>49.15</v>
      </c>
      <c r="I869" s="3">
        <v>0.05</v>
      </c>
      <c r="J869" s="2">
        <v>46.69</v>
      </c>
      <c r="K869" t="s">
        <v>56</v>
      </c>
    </row>
    <row r="870" spans="1:11">
      <c r="A870" t="s">
        <v>1395</v>
      </c>
      <c r="B870" s="1">
        <v>45988</v>
      </c>
      <c r="C870" t="s">
        <v>170</v>
      </c>
      <c r="D870" t="s">
        <v>26</v>
      </c>
      <c r="E870" t="s">
        <v>17</v>
      </c>
      <c r="F870" t="s">
        <v>19</v>
      </c>
      <c r="G870">
        <v>1</v>
      </c>
      <c r="H870" s="2">
        <v>68.790000000000006</v>
      </c>
      <c r="I870" s="3">
        <v>0</v>
      </c>
      <c r="J870" s="2">
        <v>68.790000000000006</v>
      </c>
      <c r="K870" t="s">
        <v>61</v>
      </c>
    </row>
    <row r="871" spans="1:11">
      <c r="A871" t="s">
        <v>1396</v>
      </c>
      <c r="B871" s="1">
        <v>45954</v>
      </c>
      <c r="C871" t="s">
        <v>1397</v>
      </c>
      <c r="D871" t="s">
        <v>30</v>
      </c>
      <c r="E871" t="s">
        <v>25</v>
      </c>
      <c r="F871" t="s">
        <v>36</v>
      </c>
      <c r="G871">
        <v>2</v>
      </c>
      <c r="H871" s="2">
        <v>98.76</v>
      </c>
      <c r="I871" s="3">
        <v>0.1</v>
      </c>
      <c r="J871" s="2">
        <v>177.77</v>
      </c>
      <c r="K871" t="s">
        <v>61</v>
      </c>
    </row>
    <row r="872" spans="1:11">
      <c r="A872" t="s">
        <v>1398</v>
      </c>
      <c r="B872" s="1">
        <v>45813</v>
      </c>
      <c r="C872" t="s">
        <v>209</v>
      </c>
      <c r="D872" t="s">
        <v>22</v>
      </c>
      <c r="E872" t="s">
        <v>29</v>
      </c>
      <c r="F872" t="s">
        <v>68</v>
      </c>
      <c r="G872">
        <v>1</v>
      </c>
      <c r="H872" s="2">
        <v>49.97</v>
      </c>
      <c r="I872" s="3">
        <v>0</v>
      </c>
      <c r="J872" s="2">
        <v>49.97</v>
      </c>
      <c r="K872" t="s">
        <v>61</v>
      </c>
    </row>
    <row r="873" spans="1:11">
      <c r="A873" t="s">
        <v>1399</v>
      </c>
      <c r="B873" s="1">
        <v>45848</v>
      </c>
      <c r="C873" t="s">
        <v>433</v>
      </c>
      <c r="D873" t="s">
        <v>30</v>
      </c>
      <c r="E873" t="s">
        <v>33</v>
      </c>
      <c r="F873" t="s">
        <v>34</v>
      </c>
      <c r="G873">
        <v>2</v>
      </c>
      <c r="H873" s="2">
        <v>25.1</v>
      </c>
      <c r="I873" s="3">
        <v>0.05</v>
      </c>
      <c r="J873" s="2">
        <v>47.69</v>
      </c>
      <c r="K873" t="s">
        <v>79</v>
      </c>
    </row>
    <row r="874" spans="1:11">
      <c r="A874" t="s">
        <v>1400</v>
      </c>
      <c r="B874" s="1">
        <v>45974</v>
      </c>
      <c r="C874" t="s">
        <v>981</v>
      </c>
      <c r="D874" t="s">
        <v>22</v>
      </c>
      <c r="E874" t="s">
        <v>17</v>
      </c>
      <c r="F874" t="s">
        <v>27</v>
      </c>
      <c r="G874">
        <v>2</v>
      </c>
      <c r="H874" s="2">
        <v>55.7</v>
      </c>
      <c r="I874" s="3">
        <v>0</v>
      </c>
      <c r="J874" s="2">
        <v>111.4</v>
      </c>
      <c r="K874" t="s">
        <v>79</v>
      </c>
    </row>
    <row r="875" spans="1:11">
      <c r="A875" t="s">
        <v>1401</v>
      </c>
      <c r="B875" s="1">
        <v>45717</v>
      </c>
      <c r="C875" t="s">
        <v>209</v>
      </c>
      <c r="D875" t="s">
        <v>26</v>
      </c>
      <c r="E875" t="s">
        <v>17</v>
      </c>
      <c r="F875" t="s">
        <v>19</v>
      </c>
      <c r="G875">
        <v>4</v>
      </c>
      <c r="H875" s="2">
        <v>82.13</v>
      </c>
      <c r="I875" s="3">
        <v>0.1</v>
      </c>
      <c r="J875" s="2">
        <v>295.67</v>
      </c>
      <c r="K875" t="s">
        <v>79</v>
      </c>
    </row>
    <row r="876" spans="1:11">
      <c r="A876" t="s">
        <v>1402</v>
      </c>
      <c r="B876" s="1">
        <v>45763</v>
      </c>
      <c r="C876" t="s">
        <v>1403</v>
      </c>
      <c r="D876" t="s">
        <v>26</v>
      </c>
      <c r="E876" t="s">
        <v>21</v>
      </c>
      <c r="F876" t="s">
        <v>71</v>
      </c>
      <c r="G876">
        <v>2</v>
      </c>
      <c r="H876" s="2">
        <v>73.8</v>
      </c>
      <c r="I876" s="3">
        <v>0.05</v>
      </c>
      <c r="J876" s="2">
        <v>140.22</v>
      </c>
      <c r="K876" t="s">
        <v>61</v>
      </c>
    </row>
    <row r="877" spans="1:11">
      <c r="A877" t="s">
        <v>1404</v>
      </c>
      <c r="B877" s="1">
        <v>45934</v>
      </c>
      <c r="C877" t="s">
        <v>205</v>
      </c>
      <c r="D877" t="s">
        <v>30</v>
      </c>
      <c r="E877" t="s">
        <v>17</v>
      </c>
      <c r="F877" t="s">
        <v>27</v>
      </c>
      <c r="G877">
        <v>1</v>
      </c>
      <c r="H877" s="2">
        <v>52.52</v>
      </c>
      <c r="I877" s="3">
        <v>0</v>
      </c>
      <c r="J877" s="2">
        <v>52.52</v>
      </c>
      <c r="K877" t="s">
        <v>79</v>
      </c>
    </row>
    <row r="878" spans="1:11">
      <c r="A878" t="s">
        <v>1405</v>
      </c>
      <c r="B878" s="1">
        <v>45892</v>
      </c>
      <c r="C878" t="s">
        <v>882</v>
      </c>
      <c r="D878" t="s">
        <v>26</v>
      </c>
      <c r="E878" t="s">
        <v>25</v>
      </c>
      <c r="F878" t="s">
        <v>36</v>
      </c>
      <c r="G878">
        <v>1</v>
      </c>
      <c r="H878" s="2">
        <v>104.14</v>
      </c>
      <c r="I878" s="3">
        <v>0.15</v>
      </c>
      <c r="J878" s="2">
        <v>88.52</v>
      </c>
      <c r="K878" t="s">
        <v>56</v>
      </c>
    </row>
    <row r="879" spans="1:11">
      <c r="A879" t="s">
        <v>1406</v>
      </c>
      <c r="B879" s="1">
        <v>46019</v>
      </c>
      <c r="C879" t="s">
        <v>845</v>
      </c>
      <c r="D879" t="s">
        <v>30</v>
      </c>
      <c r="E879" t="s">
        <v>33</v>
      </c>
      <c r="F879" t="s">
        <v>34</v>
      </c>
      <c r="G879">
        <v>1</v>
      </c>
      <c r="H879" s="2">
        <v>27.42</v>
      </c>
      <c r="I879" s="3">
        <v>0.15</v>
      </c>
      <c r="J879" s="2">
        <v>23.31</v>
      </c>
      <c r="K879" t="s">
        <v>61</v>
      </c>
    </row>
    <row r="880" spans="1:11">
      <c r="A880" t="s">
        <v>1407</v>
      </c>
      <c r="B880" s="1">
        <v>46010</v>
      </c>
      <c r="C880" t="s">
        <v>284</v>
      </c>
      <c r="D880" t="s">
        <v>18</v>
      </c>
      <c r="E880" t="s">
        <v>17</v>
      </c>
      <c r="F880" t="s">
        <v>23</v>
      </c>
      <c r="G880">
        <v>2</v>
      </c>
      <c r="H880" s="2">
        <v>147.97</v>
      </c>
      <c r="I880" s="3">
        <v>0</v>
      </c>
      <c r="J880" s="2">
        <v>295.94</v>
      </c>
      <c r="K880" t="s">
        <v>61</v>
      </c>
    </row>
    <row r="881" spans="1:11">
      <c r="A881" t="s">
        <v>1408</v>
      </c>
      <c r="B881" s="1">
        <v>45670</v>
      </c>
      <c r="C881" t="s">
        <v>787</v>
      </c>
      <c r="D881" t="s">
        <v>26</v>
      </c>
      <c r="E881" t="s">
        <v>25</v>
      </c>
      <c r="F881" t="s">
        <v>38</v>
      </c>
      <c r="G881">
        <v>2</v>
      </c>
      <c r="H881" s="2">
        <v>109.8</v>
      </c>
      <c r="I881" s="3">
        <v>0.05</v>
      </c>
      <c r="J881" s="2">
        <v>208.62</v>
      </c>
      <c r="K881" t="s">
        <v>79</v>
      </c>
    </row>
    <row r="882" spans="1:11">
      <c r="A882" t="s">
        <v>1409</v>
      </c>
      <c r="B882" s="1">
        <v>45969</v>
      </c>
      <c r="C882" t="s">
        <v>1164</v>
      </c>
      <c r="D882" t="s">
        <v>18</v>
      </c>
      <c r="E882" t="s">
        <v>29</v>
      </c>
      <c r="F882" t="s">
        <v>92</v>
      </c>
      <c r="G882">
        <v>1</v>
      </c>
      <c r="H882" s="2">
        <v>56.3</v>
      </c>
      <c r="I882" s="3">
        <v>0.05</v>
      </c>
      <c r="J882" s="2">
        <v>53.48</v>
      </c>
      <c r="K882" t="s">
        <v>79</v>
      </c>
    </row>
    <row r="883" spans="1:11">
      <c r="A883" t="s">
        <v>1410</v>
      </c>
      <c r="B883" s="1">
        <v>45933</v>
      </c>
      <c r="C883" t="s">
        <v>991</v>
      </c>
      <c r="D883" t="s">
        <v>22</v>
      </c>
      <c r="E883" t="s">
        <v>21</v>
      </c>
      <c r="F883" t="s">
        <v>40</v>
      </c>
      <c r="G883">
        <v>2</v>
      </c>
      <c r="H883" s="2">
        <v>57.13</v>
      </c>
      <c r="I883" s="3">
        <v>0.15</v>
      </c>
      <c r="J883" s="2">
        <v>97.12</v>
      </c>
      <c r="K883" t="s">
        <v>61</v>
      </c>
    </row>
    <row r="884" spans="1:11">
      <c r="A884" t="s">
        <v>1411</v>
      </c>
      <c r="B884" s="1">
        <v>45820</v>
      </c>
      <c r="C884" t="s">
        <v>720</v>
      </c>
      <c r="D884" t="s">
        <v>22</v>
      </c>
      <c r="E884" t="s">
        <v>29</v>
      </c>
      <c r="F884" t="s">
        <v>68</v>
      </c>
      <c r="G884">
        <v>2</v>
      </c>
      <c r="H884" s="2">
        <v>52.26</v>
      </c>
      <c r="I884" s="3">
        <v>0.05</v>
      </c>
      <c r="J884" s="2">
        <v>99.29</v>
      </c>
      <c r="K884" t="s">
        <v>56</v>
      </c>
    </row>
    <row r="885" spans="1:11">
      <c r="A885" t="s">
        <v>1412</v>
      </c>
      <c r="B885" s="1">
        <v>45876</v>
      </c>
      <c r="C885" t="s">
        <v>164</v>
      </c>
      <c r="D885" t="s">
        <v>26</v>
      </c>
      <c r="E885" t="s">
        <v>25</v>
      </c>
      <c r="F885" t="s">
        <v>36</v>
      </c>
      <c r="G885">
        <v>1</v>
      </c>
      <c r="H885" s="2">
        <v>76.010000000000005</v>
      </c>
      <c r="I885" s="3">
        <v>0.05</v>
      </c>
      <c r="J885" s="2">
        <v>72.209999999999994</v>
      </c>
      <c r="K885" t="s">
        <v>61</v>
      </c>
    </row>
    <row r="886" spans="1:11">
      <c r="A886" t="s">
        <v>1413</v>
      </c>
      <c r="B886" s="1">
        <v>45945</v>
      </c>
      <c r="C886" t="s">
        <v>960</v>
      </c>
      <c r="D886" t="s">
        <v>26</v>
      </c>
      <c r="E886" t="s">
        <v>17</v>
      </c>
      <c r="F886" t="s">
        <v>23</v>
      </c>
      <c r="G886">
        <v>1</v>
      </c>
      <c r="H886" s="2">
        <v>147.44</v>
      </c>
      <c r="I886" s="3">
        <v>0.1</v>
      </c>
      <c r="J886" s="2">
        <v>132.69999999999999</v>
      </c>
      <c r="K886" t="s">
        <v>79</v>
      </c>
    </row>
    <row r="887" spans="1:11">
      <c r="A887" t="s">
        <v>1414</v>
      </c>
      <c r="B887" s="1">
        <v>45875</v>
      </c>
      <c r="C887" t="s">
        <v>986</v>
      </c>
      <c r="D887" t="s">
        <v>22</v>
      </c>
      <c r="E887" t="s">
        <v>25</v>
      </c>
      <c r="F887" t="s">
        <v>78</v>
      </c>
      <c r="G887">
        <v>3</v>
      </c>
      <c r="H887" s="2">
        <v>34.950000000000003</v>
      </c>
      <c r="I887" s="3">
        <v>0.15</v>
      </c>
      <c r="J887" s="2">
        <v>89.12</v>
      </c>
      <c r="K887" t="s">
        <v>79</v>
      </c>
    </row>
    <row r="888" spans="1:11">
      <c r="A888" t="s">
        <v>1415</v>
      </c>
      <c r="B888" s="1">
        <v>45813</v>
      </c>
      <c r="C888" t="s">
        <v>421</v>
      </c>
      <c r="D888" t="s">
        <v>30</v>
      </c>
      <c r="E888" t="s">
        <v>21</v>
      </c>
      <c r="F888" t="s">
        <v>40</v>
      </c>
      <c r="G888">
        <v>4</v>
      </c>
      <c r="H888" s="2">
        <v>50.14</v>
      </c>
      <c r="I888" s="3">
        <v>0.05</v>
      </c>
      <c r="J888" s="2">
        <v>190.53</v>
      </c>
      <c r="K888" t="s">
        <v>79</v>
      </c>
    </row>
    <row r="889" spans="1:11">
      <c r="A889" t="s">
        <v>1416</v>
      </c>
      <c r="B889" s="1">
        <v>45661</v>
      </c>
      <c r="C889" t="s">
        <v>1417</v>
      </c>
      <c r="D889" t="s">
        <v>30</v>
      </c>
      <c r="E889" t="s">
        <v>25</v>
      </c>
      <c r="F889" t="s">
        <v>38</v>
      </c>
      <c r="G889">
        <v>2</v>
      </c>
      <c r="H889" s="2">
        <v>111.88</v>
      </c>
      <c r="I889" s="3">
        <v>0</v>
      </c>
      <c r="J889" s="2">
        <v>223.76</v>
      </c>
      <c r="K889" t="s">
        <v>56</v>
      </c>
    </row>
    <row r="890" spans="1:11">
      <c r="A890" t="s">
        <v>1418</v>
      </c>
      <c r="B890" s="1">
        <v>45948</v>
      </c>
      <c r="C890" t="s">
        <v>414</v>
      </c>
      <c r="D890" t="s">
        <v>30</v>
      </c>
      <c r="E890" t="s">
        <v>17</v>
      </c>
      <c r="F890" t="s">
        <v>27</v>
      </c>
      <c r="G890">
        <v>1</v>
      </c>
      <c r="H890" s="2">
        <v>66.349999999999994</v>
      </c>
      <c r="I890" s="3">
        <v>0.05</v>
      </c>
      <c r="J890" s="2">
        <v>63.03</v>
      </c>
      <c r="K890" t="s">
        <v>79</v>
      </c>
    </row>
    <row r="891" spans="1:11">
      <c r="A891" t="s">
        <v>1419</v>
      </c>
      <c r="B891" s="1">
        <v>45812</v>
      </c>
      <c r="C891" t="s">
        <v>213</v>
      </c>
      <c r="D891" t="s">
        <v>18</v>
      </c>
      <c r="E891" t="s">
        <v>29</v>
      </c>
      <c r="F891" t="s">
        <v>68</v>
      </c>
      <c r="G891">
        <v>1</v>
      </c>
      <c r="H891" s="2">
        <v>46.56</v>
      </c>
      <c r="I891" s="3">
        <v>0.1</v>
      </c>
      <c r="J891" s="2">
        <v>41.9</v>
      </c>
      <c r="K891" t="s">
        <v>79</v>
      </c>
    </row>
    <row r="892" spans="1:11">
      <c r="A892" t="s">
        <v>1420</v>
      </c>
      <c r="B892" s="1">
        <v>45736</v>
      </c>
      <c r="C892" t="s">
        <v>1421</v>
      </c>
      <c r="D892" t="s">
        <v>26</v>
      </c>
      <c r="E892" t="s">
        <v>33</v>
      </c>
      <c r="F892" t="s">
        <v>34</v>
      </c>
      <c r="G892">
        <v>1</v>
      </c>
      <c r="H892" s="2">
        <v>30.78</v>
      </c>
      <c r="I892" s="3">
        <v>0.1</v>
      </c>
      <c r="J892" s="2">
        <v>27.7</v>
      </c>
      <c r="K892" t="s">
        <v>61</v>
      </c>
    </row>
    <row r="893" spans="1:11">
      <c r="A893" t="s">
        <v>1422</v>
      </c>
      <c r="B893" s="1">
        <v>45749</v>
      </c>
      <c r="C893" t="s">
        <v>1117</v>
      </c>
      <c r="D893" t="s">
        <v>26</v>
      </c>
      <c r="E893" t="s">
        <v>21</v>
      </c>
      <c r="F893" t="s">
        <v>40</v>
      </c>
      <c r="G893">
        <v>3</v>
      </c>
      <c r="H893" s="2">
        <v>52.08</v>
      </c>
      <c r="I893" s="3">
        <v>0</v>
      </c>
      <c r="J893" s="2">
        <v>156.24</v>
      </c>
      <c r="K893" t="s">
        <v>61</v>
      </c>
    </row>
    <row r="894" spans="1:11">
      <c r="A894" t="s">
        <v>1423</v>
      </c>
      <c r="B894" s="1">
        <v>45692</v>
      </c>
      <c r="C894" t="s">
        <v>168</v>
      </c>
      <c r="D894" t="s">
        <v>26</v>
      </c>
      <c r="E894" t="s">
        <v>29</v>
      </c>
      <c r="F894" t="s">
        <v>68</v>
      </c>
      <c r="G894">
        <v>2</v>
      </c>
      <c r="H894" s="2">
        <v>46.88</v>
      </c>
      <c r="I894" s="3">
        <v>0.15</v>
      </c>
      <c r="J894" s="2">
        <v>79.7</v>
      </c>
      <c r="K894" t="s">
        <v>56</v>
      </c>
    </row>
    <row r="895" spans="1:11">
      <c r="A895" t="s">
        <v>1424</v>
      </c>
      <c r="B895" s="1">
        <v>46009</v>
      </c>
      <c r="C895" t="s">
        <v>385</v>
      </c>
      <c r="D895" t="s">
        <v>18</v>
      </c>
      <c r="E895" t="s">
        <v>21</v>
      </c>
      <c r="F895" t="s">
        <v>40</v>
      </c>
      <c r="G895">
        <v>4</v>
      </c>
      <c r="H895" s="2">
        <v>54.88</v>
      </c>
      <c r="I895" s="3">
        <v>0.05</v>
      </c>
      <c r="J895" s="2">
        <v>208.54</v>
      </c>
      <c r="K895" t="s">
        <v>61</v>
      </c>
    </row>
    <row r="896" spans="1:11">
      <c r="A896" t="s">
        <v>1425</v>
      </c>
      <c r="B896" s="1">
        <v>45741</v>
      </c>
      <c r="C896" t="s">
        <v>1426</v>
      </c>
      <c r="D896" t="s">
        <v>22</v>
      </c>
      <c r="E896" t="s">
        <v>29</v>
      </c>
      <c r="F896" t="s">
        <v>68</v>
      </c>
      <c r="G896">
        <v>1</v>
      </c>
      <c r="H896" s="2">
        <v>43</v>
      </c>
      <c r="I896" s="3">
        <v>0</v>
      </c>
      <c r="J896" s="2">
        <v>43</v>
      </c>
      <c r="K896" t="s">
        <v>79</v>
      </c>
    </row>
    <row r="897" spans="1:11">
      <c r="A897" t="s">
        <v>1427</v>
      </c>
      <c r="B897" s="1">
        <v>45797</v>
      </c>
      <c r="C897" t="s">
        <v>820</v>
      </c>
      <c r="D897" t="s">
        <v>26</v>
      </c>
      <c r="E897" t="s">
        <v>25</v>
      </c>
      <c r="F897" t="s">
        <v>36</v>
      </c>
      <c r="G897">
        <v>1</v>
      </c>
      <c r="H897" s="2">
        <v>102.44</v>
      </c>
      <c r="I897" s="3">
        <v>0.05</v>
      </c>
      <c r="J897" s="2">
        <v>97.32</v>
      </c>
      <c r="K897" t="s">
        <v>61</v>
      </c>
    </row>
    <row r="898" spans="1:11">
      <c r="A898" t="s">
        <v>1428</v>
      </c>
      <c r="B898" s="1">
        <v>45929</v>
      </c>
      <c r="C898" t="s">
        <v>1429</v>
      </c>
      <c r="D898" t="s">
        <v>22</v>
      </c>
      <c r="E898" t="s">
        <v>29</v>
      </c>
      <c r="F898" t="s">
        <v>92</v>
      </c>
      <c r="G898">
        <v>3</v>
      </c>
      <c r="H898" s="2">
        <v>56.08</v>
      </c>
      <c r="I898" s="3">
        <v>0</v>
      </c>
      <c r="J898" s="2">
        <v>168.24</v>
      </c>
      <c r="K898" t="s">
        <v>56</v>
      </c>
    </row>
    <row r="899" spans="1:11">
      <c r="A899" t="s">
        <v>1430</v>
      </c>
      <c r="B899" s="1">
        <v>45823</v>
      </c>
      <c r="C899" t="s">
        <v>759</v>
      </c>
      <c r="D899" t="s">
        <v>26</v>
      </c>
      <c r="E899" t="s">
        <v>25</v>
      </c>
      <c r="F899" t="s">
        <v>36</v>
      </c>
      <c r="G899">
        <v>2</v>
      </c>
      <c r="H899" s="2">
        <v>95.77</v>
      </c>
      <c r="I899" s="3">
        <v>0.05</v>
      </c>
      <c r="J899" s="2">
        <v>181.96</v>
      </c>
      <c r="K899" t="s">
        <v>79</v>
      </c>
    </row>
    <row r="900" spans="1:11">
      <c r="A900" t="s">
        <v>1431</v>
      </c>
      <c r="B900" s="1">
        <v>45931</v>
      </c>
      <c r="C900" t="s">
        <v>1432</v>
      </c>
      <c r="D900" t="s">
        <v>26</v>
      </c>
      <c r="E900" t="s">
        <v>29</v>
      </c>
      <c r="F900" t="s">
        <v>68</v>
      </c>
      <c r="G900">
        <v>1</v>
      </c>
      <c r="H900" s="2">
        <v>40.380000000000003</v>
      </c>
      <c r="I900" s="3">
        <v>0</v>
      </c>
      <c r="J900" s="2">
        <v>40.380000000000003</v>
      </c>
      <c r="K900" t="s">
        <v>61</v>
      </c>
    </row>
    <row r="901" spans="1:11">
      <c r="A901" t="s">
        <v>1433</v>
      </c>
      <c r="B901" s="1">
        <v>45906</v>
      </c>
      <c r="C901" t="s">
        <v>58</v>
      </c>
      <c r="D901" t="s">
        <v>22</v>
      </c>
      <c r="E901" t="s">
        <v>25</v>
      </c>
      <c r="F901" t="s">
        <v>38</v>
      </c>
      <c r="G901">
        <v>1</v>
      </c>
      <c r="H901" s="2">
        <v>136.91999999999999</v>
      </c>
      <c r="I901" s="3">
        <v>0</v>
      </c>
      <c r="J901" s="2">
        <v>136.91999999999999</v>
      </c>
      <c r="K901" t="s">
        <v>56</v>
      </c>
    </row>
    <row r="902" spans="1:11">
      <c r="A902" t="s">
        <v>1434</v>
      </c>
      <c r="B902" s="1">
        <v>45771</v>
      </c>
      <c r="C902" t="s">
        <v>1032</v>
      </c>
      <c r="D902" t="s">
        <v>18</v>
      </c>
      <c r="E902" t="s">
        <v>33</v>
      </c>
      <c r="F902" t="s">
        <v>31</v>
      </c>
      <c r="G902">
        <v>2</v>
      </c>
      <c r="H902" s="2">
        <v>76.540000000000006</v>
      </c>
      <c r="I902" s="3">
        <v>0.15</v>
      </c>
      <c r="J902" s="2">
        <v>130.12</v>
      </c>
      <c r="K902" t="s">
        <v>61</v>
      </c>
    </row>
    <row r="903" spans="1:11">
      <c r="A903" t="s">
        <v>1435</v>
      </c>
      <c r="B903" s="1">
        <v>45893</v>
      </c>
      <c r="C903" t="s">
        <v>794</v>
      </c>
      <c r="D903" t="s">
        <v>26</v>
      </c>
      <c r="E903" t="s">
        <v>17</v>
      </c>
      <c r="F903" t="s">
        <v>23</v>
      </c>
      <c r="G903">
        <v>1</v>
      </c>
      <c r="H903" s="2">
        <v>115.24</v>
      </c>
      <c r="I903" s="3">
        <v>0</v>
      </c>
      <c r="J903" s="2">
        <v>115.24</v>
      </c>
      <c r="K903" t="s">
        <v>61</v>
      </c>
    </row>
    <row r="904" spans="1:11">
      <c r="A904" t="s">
        <v>1436</v>
      </c>
      <c r="B904" s="1">
        <v>46011</v>
      </c>
      <c r="C904" t="s">
        <v>841</v>
      </c>
      <c r="D904" t="s">
        <v>26</v>
      </c>
      <c r="E904" t="s">
        <v>25</v>
      </c>
      <c r="F904" t="s">
        <v>36</v>
      </c>
      <c r="G904">
        <v>1</v>
      </c>
      <c r="H904" s="2">
        <v>88.63</v>
      </c>
      <c r="I904" s="3">
        <v>0.15</v>
      </c>
      <c r="J904" s="2">
        <v>75.34</v>
      </c>
      <c r="K904" t="s">
        <v>79</v>
      </c>
    </row>
    <row r="905" spans="1:11">
      <c r="A905" t="s">
        <v>1437</v>
      </c>
      <c r="B905" s="1">
        <v>46021</v>
      </c>
      <c r="C905" t="s">
        <v>1438</v>
      </c>
      <c r="D905" t="s">
        <v>22</v>
      </c>
      <c r="E905" t="s">
        <v>33</v>
      </c>
      <c r="F905" t="s">
        <v>34</v>
      </c>
      <c r="G905">
        <v>1</v>
      </c>
      <c r="H905" s="2">
        <v>32.450000000000003</v>
      </c>
      <c r="I905" s="3">
        <v>0</v>
      </c>
      <c r="J905" s="2">
        <v>32.450000000000003</v>
      </c>
      <c r="K905" t="s">
        <v>56</v>
      </c>
    </row>
    <row r="906" spans="1:11">
      <c r="A906" t="s">
        <v>1439</v>
      </c>
      <c r="B906" s="1">
        <v>45774</v>
      </c>
      <c r="C906" t="s">
        <v>188</v>
      </c>
      <c r="D906" t="s">
        <v>18</v>
      </c>
      <c r="E906" t="s">
        <v>33</v>
      </c>
      <c r="F906" t="s">
        <v>34</v>
      </c>
      <c r="G906">
        <v>1</v>
      </c>
      <c r="H906" s="2">
        <v>25.9</v>
      </c>
      <c r="I906" s="3">
        <v>0</v>
      </c>
      <c r="J906" s="2">
        <v>25.9</v>
      </c>
      <c r="K906" t="s">
        <v>79</v>
      </c>
    </row>
    <row r="907" spans="1:11">
      <c r="A907" t="s">
        <v>1440</v>
      </c>
      <c r="B907" s="1">
        <v>45667</v>
      </c>
      <c r="C907" t="s">
        <v>340</v>
      </c>
      <c r="D907" t="s">
        <v>18</v>
      </c>
      <c r="E907" t="s">
        <v>21</v>
      </c>
      <c r="F907" t="s">
        <v>40</v>
      </c>
      <c r="G907">
        <v>2</v>
      </c>
      <c r="H907" s="2">
        <v>42.34</v>
      </c>
      <c r="I907" s="3">
        <v>0</v>
      </c>
      <c r="J907" s="2">
        <v>84.68</v>
      </c>
      <c r="K907" t="s">
        <v>61</v>
      </c>
    </row>
    <row r="908" spans="1:11">
      <c r="A908" t="s">
        <v>1441</v>
      </c>
      <c r="B908" s="1">
        <v>45718</v>
      </c>
      <c r="C908" t="s">
        <v>1442</v>
      </c>
      <c r="D908" t="s">
        <v>18</v>
      </c>
      <c r="E908" t="s">
        <v>33</v>
      </c>
      <c r="F908" t="s">
        <v>34</v>
      </c>
      <c r="G908">
        <v>1</v>
      </c>
      <c r="H908" s="2">
        <v>27.54</v>
      </c>
      <c r="I908" s="3">
        <v>0</v>
      </c>
      <c r="J908" s="2">
        <v>27.54</v>
      </c>
      <c r="K908" t="s">
        <v>56</v>
      </c>
    </row>
    <row r="909" spans="1:11">
      <c r="A909" t="s">
        <v>1443</v>
      </c>
      <c r="B909" s="1">
        <v>45763</v>
      </c>
      <c r="C909" t="s">
        <v>1235</v>
      </c>
      <c r="D909" t="s">
        <v>18</v>
      </c>
      <c r="E909" t="s">
        <v>29</v>
      </c>
      <c r="F909" t="s">
        <v>68</v>
      </c>
      <c r="G909">
        <v>3</v>
      </c>
      <c r="H909" s="2">
        <v>40.99</v>
      </c>
      <c r="I909" s="3">
        <v>0.05</v>
      </c>
      <c r="J909" s="2">
        <v>116.82</v>
      </c>
      <c r="K909" t="s">
        <v>79</v>
      </c>
    </row>
    <row r="910" spans="1:11">
      <c r="A910" t="s">
        <v>1444</v>
      </c>
      <c r="B910" s="1">
        <v>45800</v>
      </c>
      <c r="C910" t="s">
        <v>453</v>
      </c>
      <c r="D910" t="s">
        <v>18</v>
      </c>
      <c r="E910" t="s">
        <v>29</v>
      </c>
      <c r="F910" t="s">
        <v>68</v>
      </c>
      <c r="G910">
        <v>1</v>
      </c>
      <c r="H910" s="2">
        <v>40.630000000000003</v>
      </c>
      <c r="I910" s="3">
        <v>0.15</v>
      </c>
      <c r="J910" s="2">
        <v>34.54</v>
      </c>
      <c r="K910" t="s">
        <v>79</v>
      </c>
    </row>
    <row r="911" spans="1:11">
      <c r="A911" t="s">
        <v>1445</v>
      </c>
      <c r="B911" s="1">
        <v>45954</v>
      </c>
      <c r="C911" t="s">
        <v>77</v>
      </c>
      <c r="D911" t="s">
        <v>18</v>
      </c>
      <c r="E911" t="s">
        <v>17</v>
      </c>
      <c r="F911" t="s">
        <v>19</v>
      </c>
      <c r="G911">
        <v>1</v>
      </c>
      <c r="H911" s="2">
        <v>85.81</v>
      </c>
      <c r="I911" s="3">
        <v>0.05</v>
      </c>
      <c r="J911" s="2">
        <v>81.52</v>
      </c>
      <c r="K911" t="s">
        <v>56</v>
      </c>
    </row>
    <row r="912" spans="1:11">
      <c r="A912" t="s">
        <v>1446</v>
      </c>
      <c r="B912" s="1">
        <v>45708</v>
      </c>
      <c r="C912" t="s">
        <v>1386</v>
      </c>
      <c r="D912" t="s">
        <v>22</v>
      </c>
      <c r="E912" t="s">
        <v>33</v>
      </c>
      <c r="F912" t="s">
        <v>31</v>
      </c>
      <c r="G912">
        <v>3</v>
      </c>
      <c r="H912" s="2">
        <v>83.69</v>
      </c>
      <c r="I912" s="3">
        <v>0.1</v>
      </c>
      <c r="J912" s="2">
        <v>225.96</v>
      </c>
      <c r="K912" t="s">
        <v>61</v>
      </c>
    </row>
    <row r="913" spans="1:11">
      <c r="A913" t="s">
        <v>1447</v>
      </c>
      <c r="B913" s="1">
        <v>46002</v>
      </c>
      <c r="C913" t="s">
        <v>1448</v>
      </c>
      <c r="D913" t="s">
        <v>22</v>
      </c>
      <c r="E913" t="s">
        <v>17</v>
      </c>
      <c r="F913" t="s">
        <v>23</v>
      </c>
      <c r="G913">
        <v>1</v>
      </c>
      <c r="H913" s="2">
        <v>124.75</v>
      </c>
      <c r="I913" s="3">
        <v>0.1</v>
      </c>
      <c r="J913" s="2">
        <v>112.28</v>
      </c>
      <c r="K913" t="s">
        <v>56</v>
      </c>
    </row>
    <row r="914" spans="1:11">
      <c r="A914" t="s">
        <v>1449</v>
      </c>
      <c r="B914" s="1">
        <v>45774</v>
      </c>
      <c r="C914" t="s">
        <v>497</v>
      </c>
      <c r="D914" t="s">
        <v>18</v>
      </c>
      <c r="E914" t="s">
        <v>25</v>
      </c>
      <c r="F914" t="s">
        <v>38</v>
      </c>
      <c r="G914">
        <v>1</v>
      </c>
      <c r="H914" s="2">
        <v>139.82</v>
      </c>
      <c r="I914" s="3">
        <v>0</v>
      </c>
      <c r="J914" s="2">
        <v>139.82</v>
      </c>
      <c r="K914" t="s">
        <v>56</v>
      </c>
    </row>
    <row r="915" spans="1:11">
      <c r="A915" t="s">
        <v>1450</v>
      </c>
      <c r="B915" s="1">
        <v>45727</v>
      </c>
      <c r="C915" t="s">
        <v>778</v>
      </c>
      <c r="D915" t="s">
        <v>18</v>
      </c>
      <c r="E915" t="s">
        <v>21</v>
      </c>
      <c r="F915" t="s">
        <v>40</v>
      </c>
      <c r="G915">
        <v>2</v>
      </c>
      <c r="H915" s="2">
        <v>53.05</v>
      </c>
      <c r="I915" s="3">
        <v>0.15</v>
      </c>
      <c r="J915" s="2">
        <v>90.18</v>
      </c>
      <c r="K915" t="s">
        <v>61</v>
      </c>
    </row>
    <row r="916" spans="1:11">
      <c r="A916" t="s">
        <v>1451</v>
      </c>
      <c r="B916" s="1">
        <v>45910</v>
      </c>
      <c r="C916" t="s">
        <v>1244</v>
      </c>
      <c r="D916" t="s">
        <v>22</v>
      </c>
      <c r="E916" t="s">
        <v>17</v>
      </c>
      <c r="F916" t="s">
        <v>23</v>
      </c>
      <c r="G916">
        <v>1</v>
      </c>
      <c r="H916" s="2">
        <v>129.1</v>
      </c>
      <c r="I916" s="3">
        <v>0.05</v>
      </c>
      <c r="J916" s="2">
        <v>122.64</v>
      </c>
      <c r="K916" t="s">
        <v>56</v>
      </c>
    </row>
    <row r="917" spans="1:11">
      <c r="A917" t="s">
        <v>1452</v>
      </c>
      <c r="B917" s="1">
        <v>45866</v>
      </c>
      <c r="C917" t="s">
        <v>632</v>
      </c>
      <c r="D917" t="s">
        <v>26</v>
      </c>
      <c r="E917" t="s">
        <v>33</v>
      </c>
      <c r="F917" t="s">
        <v>34</v>
      </c>
      <c r="G917">
        <v>4</v>
      </c>
      <c r="H917" s="2">
        <v>28.75</v>
      </c>
      <c r="I917" s="3">
        <v>0</v>
      </c>
      <c r="J917" s="2">
        <v>115</v>
      </c>
      <c r="K917" t="s">
        <v>79</v>
      </c>
    </row>
    <row r="918" spans="1:11">
      <c r="A918" t="s">
        <v>1453</v>
      </c>
      <c r="B918" s="1">
        <v>45664</v>
      </c>
      <c r="C918" t="s">
        <v>841</v>
      </c>
      <c r="D918" t="s">
        <v>18</v>
      </c>
      <c r="E918" t="s">
        <v>29</v>
      </c>
      <c r="F918" t="s">
        <v>92</v>
      </c>
      <c r="G918">
        <v>1</v>
      </c>
      <c r="H918" s="2">
        <v>48.66</v>
      </c>
      <c r="I918" s="3">
        <v>0.1</v>
      </c>
      <c r="J918" s="2">
        <v>43.79</v>
      </c>
      <c r="K918" t="s">
        <v>79</v>
      </c>
    </row>
    <row r="919" spans="1:11">
      <c r="A919" t="s">
        <v>1454</v>
      </c>
      <c r="B919" s="1">
        <v>45731</v>
      </c>
      <c r="C919" t="s">
        <v>1455</v>
      </c>
      <c r="D919" t="s">
        <v>18</v>
      </c>
      <c r="E919" t="s">
        <v>25</v>
      </c>
      <c r="F919" t="s">
        <v>38</v>
      </c>
      <c r="G919">
        <v>1</v>
      </c>
      <c r="H919" s="2">
        <v>124.34</v>
      </c>
      <c r="I919" s="3">
        <v>0</v>
      </c>
      <c r="J919" s="2">
        <v>124.34</v>
      </c>
      <c r="K919" t="s">
        <v>61</v>
      </c>
    </row>
    <row r="920" spans="1:11">
      <c r="A920" t="s">
        <v>1456</v>
      </c>
      <c r="B920" s="1">
        <v>45759</v>
      </c>
      <c r="C920" t="s">
        <v>1114</v>
      </c>
      <c r="D920" t="s">
        <v>22</v>
      </c>
      <c r="E920" t="s">
        <v>25</v>
      </c>
      <c r="F920" t="s">
        <v>36</v>
      </c>
      <c r="G920">
        <v>1</v>
      </c>
      <c r="H920" s="2">
        <v>100.44</v>
      </c>
      <c r="I920" s="3">
        <v>0.1</v>
      </c>
      <c r="J920" s="2">
        <v>90.4</v>
      </c>
      <c r="K920" t="s">
        <v>61</v>
      </c>
    </row>
    <row r="921" spans="1:11">
      <c r="A921" t="s">
        <v>1457</v>
      </c>
      <c r="B921" s="1">
        <v>45913</v>
      </c>
      <c r="C921" t="s">
        <v>1458</v>
      </c>
      <c r="D921" t="s">
        <v>30</v>
      </c>
      <c r="E921" t="s">
        <v>33</v>
      </c>
      <c r="F921" t="s">
        <v>34</v>
      </c>
      <c r="G921">
        <v>2</v>
      </c>
      <c r="H921" s="2">
        <v>31.98</v>
      </c>
      <c r="I921" s="3">
        <v>0.15</v>
      </c>
      <c r="J921" s="2">
        <v>54.37</v>
      </c>
      <c r="K921" t="s">
        <v>61</v>
      </c>
    </row>
    <row r="922" spans="1:11">
      <c r="A922" t="s">
        <v>1459</v>
      </c>
      <c r="B922" s="1">
        <v>45901</v>
      </c>
      <c r="C922" t="s">
        <v>1028</v>
      </c>
      <c r="D922" t="s">
        <v>26</v>
      </c>
      <c r="E922" t="s">
        <v>29</v>
      </c>
      <c r="F922" t="s">
        <v>92</v>
      </c>
      <c r="G922">
        <v>2</v>
      </c>
      <c r="H922" s="2">
        <v>54.09</v>
      </c>
      <c r="I922" s="3">
        <v>0.1</v>
      </c>
      <c r="J922" s="2">
        <v>97.36</v>
      </c>
      <c r="K922" t="s">
        <v>79</v>
      </c>
    </row>
    <row r="923" spans="1:11">
      <c r="A923" t="s">
        <v>1460</v>
      </c>
      <c r="B923" s="1">
        <v>45890</v>
      </c>
      <c r="C923" t="s">
        <v>1002</v>
      </c>
      <c r="D923" t="s">
        <v>18</v>
      </c>
      <c r="E923" t="s">
        <v>17</v>
      </c>
      <c r="F923" t="s">
        <v>23</v>
      </c>
      <c r="G923">
        <v>1</v>
      </c>
      <c r="H923" s="2">
        <v>130.47999999999999</v>
      </c>
      <c r="I923" s="3">
        <v>0</v>
      </c>
      <c r="J923" s="2">
        <v>130.47999999999999</v>
      </c>
      <c r="K923" t="s">
        <v>79</v>
      </c>
    </row>
    <row r="924" spans="1:11">
      <c r="A924" t="s">
        <v>1461</v>
      </c>
      <c r="B924" s="1">
        <v>45685</v>
      </c>
      <c r="C924" t="s">
        <v>1158</v>
      </c>
      <c r="D924" t="s">
        <v>26</v>
      </c>
      <c r="E924" t="s">
        <v>17</v>
      </c>
      <c r="F924" t="s">
        <v>23</v>
      </c>
      <c r="G924">
        <v>1</v>
      </c>
      <c r="H924" s="2">
        <v>110.79</v>
      </c>
      <c r="I924" s="3">
        <v>0</v>
      </c>
      <c r="J924" s="2">
        <v>110.79</v>
      </c>
      <c r="K924" t="s">
        <v>79</v>
      </c>
    </row>
    <row r="925" spans="1:11">
      <c r="A925" t="s">
        <v>1462</v>
      </c>
      <c r="B925" s="1">
        <v>45813</v>
      </c>
      <c r="C925" t="s">
        <v>1463</v>
      </c>
      <c r="D925" t="s">
        <v>30</v>
      </c>
      <c r="E925" t="s">
        <v>29</v>
      </c>
      <c r="F925" t="s">
        <v>68</v>
      </c>
      <c r="G925">
        <v>2</v>
      </c>
      <c r="H925" s="2">
        <v>49.54</v>
      </c>
      <c r="I925" s="3">
        <v>0.15</v>
      </c>
      <c r="J925" s="2">
        <v>84.22</v>
      </c>
      <c r="K925" t="s">
        <v>79</v>
      </c>
    </row>
    <row r="926" spans="1:11">
      <c r="A926" t="s">
        <v>1464</v>
      </c>
      <c r="B926" s="1">
        <v>45808</v>
      </c>
      <c r="C926" t="s">
        <v>1171</v>
      </c>
      <c r="D926" t="s">
        <v>18</v>
      </c>
      <c r="E926" t="s">
        <v>29</v>
      </c>
      <c r="F926" t="s">
        <v>92</v>
      </c>
      <c r="G926">
        <v>1</v>
      </c>
      <c r="H926" s="2">
        <v>55.91</v>
      </c>
      <c r="I926" s="3">
        <v>0.15</v>
      </c>
      <c r="J926" s="2">
        <v>47.52</v>
      </c>
      <c r="K926" t="s">
        <v>79</v>
      </c>
    </row>
    <row r="927" spans="1:11">
      <c r="A927" t="s">
        <v>1465</v>
      </c>
      <c r="B927" s="1">
        <v>45878</v>
      </c>
      <c r="C927" t="s">
        <v>960</v>
      </c>
      <c r="D927" t="s">
        <v>30</v>
      </c>
      <c r="E927" t="s">
        <v>17</v>
      </c>
      <c r="F927" t="s">
        <v>23</v>
      </c>
      <c r="G927">
        <v>1</v>
      </c>
      <c r="H927" s="2">
        <v>123.04</v>
      </c>
      <c r="I927" s="3">
        <v>0.1</v>
      </c>
      <c r="J927" s="2">
        <v>110.74</v>
      </c>
      <c r="K927" t="s">
        <v>79</v>
      </c>
    </row>
    <row r="928" spans="1:11">
      <c r="A928" t="s">
        <v>1466</v>
      </c>
      <c r="B928" s="1">
        <v>45674</v>
      </c>
      <c r="C928" t="s">
        <v>1467</v>
      </c>
      <c r="D928" t="s">
        <v>30</v>
      </c>
      <c r="E928" t="s">
        <v>17</v>
      </c>
      <c r="F928" t="s">
        <v>27</v>
      </c>
      <c r="G928">
        <v>2</v>
      </c>
      <c r="H928" s="2">
        <v>66.900000000000006</v>
      </c>
      <c r="I928" s="3">
        <v>0.05</v>
      </c>
      <c r="J928" s="2">
        <v>127.11</v>
      </c>
      <c r="K928" t="s">
        <v>61</v>
      </c>
    </row>
    <row r="929" spans="1:11">
      <c r="A929" t="s">
        <v>1468</v>
      </c>
      <c r="B929" s="1">
        <v>45726</v>
      </c>
      <c r="C929" t="s">
        <v>176</v>
      </c>
      <c r="D929" t="s">
        <v>30</v>
      </c>
      <c r="E929" t="s">
        <v>33</v>
      </c>
      <c r="F929" t="s">
        <v>34</v>
      </c>
      <c r="G929">
        <v>2</v>
      </c>
      <c r="H929" s="2">
        <v>29.31</v>
      </c>
      <c r="I929" s="3">
        <v>0</v>
      </c>
      <c r="J929" s="2">
        <v>58.62</v>
      </c>
      <c r="K929" t="s">
        <v>56</v>
      </c>
    </row>
    <row r="930" spans="1:11">
      <c r="A930" t="s">
        <v>1469</v>
      </c>
      <c r="B930" s="1">
        <v>45941</v>
      </c>
      <c r="C930" t="s">
        <v>258</v>
      </c>
      <c r="D930" t="s">
        <v>18</v>
      </c>
      <c r="E930" t="s">
        <v>29</v>
      </c>
      <c r="F930" t="s">
        <v>92</v>
      </c>
      <c r="G930">
        <v>1</v>
      </c>
      <c r="H930" s="2">
        <v>55.28</v>
      </c>
      <c r="I930" s="3">
        <v>0.15</v>
      </c>
      <c r="J930" s="2">
        <v>46.99</v>
      </c>
      <c r="K930" t="s">
        <v>61</v>
      </c>
    </row>
    <row r="931" spans="1:11">
      <c r="A931" t="s">
        <v>1470</v>
      </c>
      <c r="B931" s="1">
        <v>45792</v>
      </c>
      <c r="C931" t="s">
        <v>433</v>
      </c>
      <c r="D931" t="s">
        <v>26</v>
      </c>
      <c r="E931" t="s">
        <v>21</v>
      </c>
      <c r="F931" t="s">
        <v>40</v>
      </c>
      <c r="G931">
        <v>2</v>
      </c>
      <c r="H931" s="2">
        <v>47.76</v>
      </c>
      <c r="I931" s="3">
        <v>0.05</v>
      </c>
      <c r="J931" s="2">
        <v>90.74</v>
      </c>
      <c r="K931" t="s">
        <v>79</v>
      </c>
    </row>
    <row r="932" spans="1:11">
      <c r="A932" t="s">
        <v>1471</v>
      </c>
      <c r="B932" s="1">
        <v>45672</v>
      </c>
      <c r="C932" t="s">
        <v>135</v>
      </c>
      <c r="D932" t="s">
        <v>18</v>
      </c>
      <c r="E932" t="s">
        <v>29</v>
      </c>
      <c r="F932" t="s">
        <v>68</v>
      </c>
      <c r="G932">
        <v>1</v>
      </c>
      <c r="H932" s="2">
        <v>50.68</v>
      </c>
      <c r="I932" s="3">
        <v>0.05</v>
      </c>
      <c r="J932" s="2">
        <v>48.15</v>
      </c>
      <c r="K932" t="s">
        <v>56</v>
      </c>
    </row>
    <row r="933" spans="1:11">
      <c r="A933" t="s">
        <v>1472</v>
      </c>
      <c r="B933" s="1">
        <v>45832</v>
      </c>
      <c r="C933" t="s">
        <v>158</v>
      </c>
      <c r="D933" t="s">
        <v>26</v>
      </c>
      <c r="E933" t="s">
        <v>25</v>
      </c>
      <c r="F933" t="s">
        <v>38</v>
      </c>
      <c r="G933">
        <v>1</v>
      </c>
      <c r="H933" s="2">
        <v>114.7</v>
      </c>
      <c r="I933" s="3">
        <v>0.05</v>
      </c>
      <c r="J933" s="2">
        <v>108.97</v>
      </c>
      <c r="K933" t="s">
        <v>79</v>
      </c>
    </row>
    <row r="934" spans="1:11">
      <c r="A934" t="s">
        <v>1473</v>
      </c>
      <c r="B934" s="1">
        <v>45996</v>
      </c>
      <c r="C934" t="s">
        <v>180</v>
      </c>
      <c r="D934" t="s">
        <v>18</v>
      </c>
      <c r="E934" t="s">
        <v>33</v>
      </c>
      <c r="F934" t="s">
        <v>31</v>
      </c>
      <c r="G934">
        <v>1</v>
      </c>
      <c r="H934" s="2">
        <v>78.73</v>
      </c>
      <c r="I934" s="3">
        <v>0.15</v>
      </c>
      <c r="J934" s="2">
        <v>66.92</v>
      </c>
      <c r="K934" t="s">
        <v>61</v>
      </c>
    </row>
    <row r="935" spans="1:11">
      <c r="A935" t="s">
        <v>1474</v>
      </c>
      <c r="B935" s="1">
        <v>45716</v>
      </c>
      <c r="C935" t="s">
        <v>1475</v>
      </c>
      <c r="D935" t="s">
        <v>30</v>
      </c>
      <c r="E935" t="s">
        <v>25</v>
      </c>
      <c r="F935" t="s">
        <v>36</v>
      </c>
      <c r="G935">
        <v>1</v>
      </c>
      <c r="H935" s="2">
        <v>91.46</v>
      </c>
      <c r="I935" s="3">
        <v>0</v>
      </c>
      <c r="J935" s="2">
        <v>91.46</v>
      </c>
      <c r="K935" t="s">
        <v>56</v>
      </c>
    </row>
    <row r="936" spans="1:11">
      <c r="A936" t="s">
        <v>1476</v>
      </c>
      <c r="B936" s="1">
        <v>45921</v>
      </c>
      <c r="C936" t="s">
        <v>320</v>
      </c>
      <c r="D936" t="s">
        <v>26</v>
      </c>
      <c r="E936" t="s">
        <v>25</v>
      </c>
      <c r="F936" t="s">
        <v>38</v>
      </c>
      <c r="G936">
        <v>1</v>
      </c>
      <c r="H936" s="2">
        <v>128.47999999999999</v>
      </c>
      <c r="I936" s="3">
        <v>0.15</v>
      </c>
      <c r="J936" s="2">
        <v>109.21</v>
      </c>
      <c r="K936" t="s">
        <v>61</v>
      </c>
    </row>
    <row r="937" spans="1:11">
      <c r="A937" t="s">
        <v>1477</v>
      </c>
      <c r="B937" s="1">
        <v>45950</v>
      </c>
      <c r="C937" t="s">
        <v>139</v>
      </c>
      <c r="D937" t="s">
        <v>22</v>
      </c>
      <c r="E937" t="s">
        <v>25</v>
      </c>
      <c r="F937" t="s">
        <v>38</v>
      </c>
      <c r="G937">
        <v>1</v>
      </c>
      <c r="H937" s="2">
        <v>104.99</v>
      </c>
      <c r="I937" s="3">
        <v>0.1</v>
      </c>
      <c r="J937" s="2">
        <v>94.49</v>
      </c>
      <c r="K937" t="s">
        <v>61</v>
      </c>
    </row>
    <row r="938" spans="1:11">
      <c r="A938" t="s">
        <v>1478</v>
      </c>
      <c r="B938" s="1">
        <v>45912</v>
      </c>
      <c r="C938" t="s">
        <v>316</v>
      </c>
      <c r="D938" t="s">
        <v>26</v>
      </c>
      <c r="E938" t="s">
        <v>21</v>
      </c>
      <c r="F938" t="s">
        <v>71</v>
      </c>
      <c r="G938">
        <v>2</v>
      </c>
      <c r="H938" s="2">
        <v>73.849999999999994</v>
      </c>
      <c r="I938" s="3">
        <v>0</v>
      </c>
      <c r="J938" s="2">
        <v>147.69999999999999</v>
      </c>
      <c r="K938" t="s">
        <v>61</v>
      </c>
    </row>
    <row r="939" spans="1:11">
      <c r="A939" t="s">
        <v>1479</v>
      </c>
      <c r="B939" s="1">
        <v>45761</v>
      </c>
      <c r="C939" t="s">
        <v>1480</v>
      </c>
      <c r="D939" t="s">
        <v>22</v>
      </c>
      <c r="E939" t="s">
        <v>21</v>
      </c>
      <c r="F939" t="s">
        <v>40</v>
      </c>
      <c r="G939">
        <v>2</v>
      </c>
      <c r="H939" s="2">
        <v>57.4</v>
      </c>
      <c r="I939" s="3">
        <v>0</v>
      </c>
      <c r="J939" s="2">
        <v>114.8</v>
      </c>
      <c r="K939" t="s">
        <v>61</v>
      </c>
    </row>
    <row r="940" spans="1:11">
      <c r="A940" t="s">
        <v>1481</v>
      </c>
      <c r="B940" s="1">
        <v>45793</v>
      </c>
      <c r="C940" t="s">
        <v>787</v>
      </c>
      <c r="D940" t="s">
        <v>18</v>
      </c>
      <c r="E940" t="s">
        <v>17</v>
      </c>
      <c r="F940" t="s">
        <v>19</v>
      </c>
      <c r="G940">
        <v>1</v>
      </c>
      <c r="H940" s="2">
        <v>82.1</v>
      </c>
      <c r="I940" s="3">
        <v>0</v>
      </c>
      <c r="J940" s="2">
        <v>82.1</v>
      </c>
      <c r="K940" t="s">
        <v>56</v>
      </c>
    </row>
    <row r="941" spans="1:11">
      <c r="A941" t="s">
        <v>1482</v>
      </c>
      <c r="B941" s="1">
        <v>45830</v>
      </c>
      <c r="C941" t="s">
        <v>1483</v>
      </c>
      <c r="D941" t="s">
        <v>22</v>
      </c>
      <c r="E941" t="s">
        <v>33</v>
      </c>
      <c r="F941" t="s">
        <v>34</v>
      </c>
      <c r="G941">
        <v>1</v>
      </c>
      <c r="H941" s="2">
        <v>32.32</v>
      </c>
      <c r="I941" s="3">
        <v>0.1</v>
      </c>
      <c r="J941" s="2">
        <v>29.09</v>
      </c>
      <c r="K941" t="s">
        <v>61</v>
      </c>
    </row>
    <row r="942" spans="1:11">
      <c r="A942" t="s">
        <v>1484</v>
      </c>
      <c r="B942" s="1">
        <v>45697</v>
      </c>
      <c r="C942" t="s">
        <v>499</v>
      </c>
      <c r="D942" t="s">
        <v>26</v>
      </c>
      <c r="E942" t="s">
        <v>29</v>
      </c>
      <c r="F942" t="s">
        <v>92</v>
      </c>
      <c r="G942">
        <v>2</v>
      </c>
      <c r="H942" s="2">
        <v>55.91</v>
      </c>
      <c r="I942" s="3">
        <v>0.05</v>
      </c>
      <c r="J942" s="2">
        <v>106.23</v>
      </c>
      <c r="K942" t="s">
        <v>79</v>
      </c>
    </row>
    <row r="943" spans="1:11">
      <c r="A943" t="s">
        <v>1485</v>
      </c>
      <c r="B943" s="1">
        <v>45870</v>
      </c>
      <c r="C943" t="s">
        <v>428</v>
      </c>
      <c r="D943" t="s">
        <v>18</v>
      </c>
      <c r="E943" t="s">
        <v>25</v>
      </c>
      <c r="F943" t="s">
        <v>38</v>
      </c>
      <c r="G943">
        <v>1</v>
      </c>
      <c r="H943" s="2">
        <v>121.39</v>
      </c>
      <c r="I943" s="3">
        <v>0.15</v>
      </c>
      <c r="J943" s="2">
        <v>103.18</v>
      </c>
      <c r="K943" t="s">
        <v>56</v>
      </c>
    </row>
    <row r="944" spans="1:11">
      <c r="A944" t="s">
        <v>1486</v>
      </c>
      <c r="B944" s="1">
        <v>46018</v>
      </c>
      <c r="C944" t="s">
        <v>1091</v>
      </c>
      <c r="D944" t="s">
        <v>26</v>
      </c>
      <c r="E944" t="s">
        <v>21</v>
      </c>
      <c r="F944" t="s">
        <v>71</v>
      </c>
      <c r="G944">
        <v>3</v>
      </c>
      <c r="H944" s="2">
        <v>71.78</v>
      </c>
      <c r="I944" s="3">
        <v>0</v>
      </c>
      <c r="J944" s="2">
        <v>215.34</v>
      </c>
      <c r="K944" t="s">
        <v>56</v>
      </c>
    </row>
    <row r="945" spans="1:11">
      <c r="A945" t="s">
        <v>1487</v>
      </c>
      <c r="B945" s="1">
        <v>45930</v>
      </c>
      <c r="C945" t="s">
        <v>1121</v>
      </c>
      <c r="D945" t="s">
        <v>22</v>
      </c>
      <c r="E945" t="s">
        <v>29</v>
      </c>
      <c r="F945" t="s">
        <v>68</v>
      </c>
      <c r="G945">
        <v>3</v>
      </c>
      <c r="H945" s="2">
        <v>51.72</v>
      </c>
      <c r="I945" s="3">
        <v>0.15</v>
      </c>
      <c r="J945" s="2">
        <v>131.88999999999999</v>
      </c>
      <c r="K945" t="s">
        <v>61</v>
      </c>
    </row>
    <row r="946" spans="1:11">
      <c r="A946" t="s">
        <v>1488</v>
      </c>
      <c r="B946" s="1">
        <v>45894</v>
      </c>
      <c r="C946" t="s">
        <v>475</v>
      </c>
      <c r="D946" t="s">
        <v>30</v>
      </c>
      <c r="E946" t="s">
        <v>17</v>
      </c>
      <c r="F946" t="s">
        <v>27</v>
      </c>
      <c r="G946">
        <v>1</v>
      </c>
      <c r="H946" s="2">
        <v>64.680000000000007</v>
      </c>
      <c r="I946" s="3">
        <v>0.05</v>
      </c>
      <c r="J946" s="2">
        <v>61.45</v>
      </c>
      <c r="K946" t="s">
        <v>61</v>
      </c>
    </row>
    <row r="947" spans="1:11">
      <c r="A947" t="s">
        <v>1489</v>
      </c>
      <c r="B947" s="1">
        <v>45690</v>
      </c>
      <c r="C947" t="s">
        <v>1129</v>
      </c>
      <c r="D947" t="s">
        <v>26</v>
      </c>
      <c r="E947" t="s">
        <v>29</v>
      </c>
      <c r="F947" t="s">
        <v>92</v>
      </c>
      <c r="G947">
        <v>1</v>
      </c>
      <c r="H947" s="2">
        <v>54.24</v>
      </c>
      <c r="I947" s="3">
        <v>0.05</v>
      </c>
      <c r="J947" s="2">
        <v>51.53</v>
      </c>
      <c r="K947" t="s">
        <v>56</v>
      </c>
    </row>
    <row r="948" spans="1:11">
      <c r="A948" t="s">
        <v>1490</v>
      </c>
      <c r="B948" s="1">
        <v>45965</v>
      </c>
      <c r="C948" t="s">
        <v>800</v>
      </c>
      <c r="D948" t="s">
        <v>22</v>
      </c>
      <c r="E948" t="s">
        <v>33</v>
      </c>
      <c r="F948" t="s">
        <v>31</v>
      </c>
      <c r="G948">
        <v>1</v>
      </c>
      <c r="H948" s="2">
        <v>65.67</v>
      </c>
      <c r="I948" s="3">
        <v>0</v>
      </c>
      <c r="J948" s="2">
        <v>65.67</v>
      </c>
      <c r="K948" t="s">
        <v>61</v>
      </c>
    </row>
    <row r="949" spans="1:11">
      <c r="A949" t="s">
        <v>1491</v>
      </c>
      <c r="B949" s="1">
        <v>45895</v>
      </c>
      <c r="C949" t="s">
        <v>464</v>
      </c>
      <c r="D949" t="s">
        <v>22</v>
      </c>
      <c r="E949" t="s">
        <v>21</v>
      </c>
      <c r="F949" t="s">
        <v>40</v>
      </c>
      <c r="G949">
        <v>2</v>
      </c>
      <c r="H949" s="2">
        <v>48.7</v>
      </c>
      <c r="I949" s="3">
        <v>0</v>
      </c>
      <c r="J949" s="2">
        <v>97.4</v>
      </c>
      <c r="K949" t="s">
        <v>61</v>
      </c>
    </row>
    <row r="950" spans="1:11">
      <c r="A950" t="s">
        <v>1492</v>
      </c>
      <c r="B950" s="1">
        <v>45727</v>
      </c>
      <c r="C950" t="s">
        <v>1273</v>
      </c>
      <c r="D950" t="s">
        <v>18</v>
      </c>
      <c r="E950" t="s">
        <v>17</v>
      </c>
      <c r="F950" t="s">
        <v>19</v>
      </c>
      <c r="G950">
        <v>1</v>
      </c>
      <c r="H950" s="2">
        <v>88.1</v>
      </c>
      <c r="I950" s="3">
        <v>0.15</v>
      </c>
      <c r="J950" s="2">
        <v>74.88</v>
      </c>
      <c r="K950" t="s">
        <v>56</v>
      </c>
    </row>
    <row r="951" spans="1:11">
      <c r="A951" t="s">
        <v>1493</v>
      </c>
      <c r="B951" s="1">
        <v>45906</v>
      </c>
      <c r="C951" t="s">
        <v>888</v>
      </c>
      <c r="D951" t="s">
        <v>18</v>
      </c>
      <c r="E951" t="s">
        <v>17</v>
      </c>
      <c r="F951" t="s">
        <v>19</v>
      </c>
      <c r="G951">
        <v>1</v>
      </c>
      <c r="H951" s="2">
        <v>90.52</v>
      </c>
      <c r="I951" s="3">
        <v>0.05</v>
      </c>
      <c r="J951" s="2">
        <v>85.99</v>
      </c>
      <c r="K951" t="s">
        <v>61</v>
      </c>
    </row>
    <row r="952" spans="1:11">
      <c r="A952" t="s">
        <v>1494</v>
      </c>
      <c r="B952" s="1">
        <v>45844</v>
      </c>
      <c r="C952" t="s">
        <v>479</v>
      </c>
      <c r="D952" t="s">
        <v>18</v>
      </c>
      <c r="E952" t="s">
        <v>29</v>
      </c>
      <c r="F952" t="s">
        <v>92</v>
      </c>
      <c r="G952">
        <v>2</v>
      </c>
      <c r="H952" s="2">
        <v>48.39</v>
      </c>
      <c r="I952" s="3">
        <v>0</v>
      </c>
      <c r="J952" s="2">
        <v>96.78</v>
      </c>
      <c r="K952" t="s">
        <v>56</v>
      </c>
    </row>
    <row r="953" spans="1:11">
      <c r="A953" t="s">
        <v>1495</v>
      </c>
      <c r="B953" s="1">
        <v>45914</v>
      </c>
      <c r="C953" t="s">
        <v>241</v>
      </c>
      <c r="D953" t="s">
        <v>30</v>
      </c>
      <c r="E953" t="s">
        <v>17</v>
      </c>
      <c r="F953" t="s">
        <v>23</v>
      </c>
      <c r="G953">
        <v>1</v>
      </c>
      <c r="H953" s="2">
        <v>144.94</v>
      </c>
      <c r="I953" s="3">
        <v>0.15</v>
      </c>
      <c r="J953" s="2">
        <v>123.2</v>
      </c>
      <c r="K953" t="s">
        <v>79</v>
      </c>
    </row>
    <row r="954" spans="1:11">
      <c r="A954" t="s">
        <v>1496</v>
      </c>
      <c r="B954" s="1">
        <v>45779</v>
      </c>
      <c r="C954" t="s">
        <v>797</v>
      </c>
      <c r="D954" t="s">
        <v>30</v>
      </c>
      <c r="E954" t="s">
        <v>29</v>
      </c>
      <c r="F954" t="s">
        <v>68</v>
      </c>
      <c r="G954">
        <v>1</v>
      </c>
      <c r="H954" s="2">
        <v>50.23</v>
      </c>
      <c r="I954" s="3">
        <v>0.05</v>
      </c>
      <c r="J954" s="2">
        <v>47.72</v>
      </c>
      <c r="K954" t="s">
        <v>56</v>
      </c>
    </row>
    <row r="955" spans="1:11">
      <c r="A955" t="s">
        <v>1497</v>
      </c>
      <c r="B955" s="1">
        <v>45778</v>
      </c>
      <c r="C955" t="s">
        <v>625</v>
      </c>
      <c r="D955" t="s">
        <v>30</v>
      </c>
      <c r="E955" t="s">
        <v>25</v>
      </c>
      <c r="F955" t="s">
        <v>38</v>
      </c>
      <c r="G955">
        <v>1</v>
      </c>
      <c r="H955" s="2">
        <v>105.34</v>
      </c>
      <c r="I955" s="3">
        <v>0</v>
      </c>
      <c r="J955" s="2">
        <v>105.34</v>
      </c>
      <c r="K955" t="s">
        <v>61</v>
      </c>
    </row>
    <row r="956" spans="1:11">
      <c r="A956" t="s">
        <v>1498</v>
      </c>
      <c r="B956" s="1">
        <v>45788</v>
      </c>
      <c r="C956" t="s">
        <v>811</v>
      </c>
      <c r="D956" t="s">
        <v>30</v>
      </c>
      <c r="E956" t="s">
        <v>29</v>
      </c>
      <c r="F956" t="s">
        <v>68</v>
      </c>
      <c r="G956">
        <v>1</v>
      </c>
      <c r="H956" s="2">
        <v>46.17</v>
      </c>
      <c r="I956" s="3">
        <v>0</v>
      </c>
      <c r="J956" s="2">
        <v>46.17</v>
      </c>
      <c r="K956" t="s">
        <v>61</v>
      </c>
    </row>
    <row r="957" spans="1:11">
      <c r="A957" t="s">
        <v>1499</v>
      </c>
      <c r="B957" s="1">
        <v>46007</v>
      </c>
      <c r="C957" t="s">
        <v>1500</v>
      </c>
      <c r="D957" t="s">
        <v>30</v>
      </c>
      <c r="E957" t="s">
        <v>33</v>
      </c>
      <c r="F957" t="s">
        <v>31</v>
      </c>
      <c r="G957">
        <v>4</v>
      </c>
      <c r="H957" s="2">
        <v>84.38</v>
      </c>
      <c r="I957" s="3">
        <v>0</v>
      </c>
      <c r="J957" s="2">
        <v>337.52</v>
      </c>
      <c r="K957" t="s">
        <v>56</v>
      </c>
    </row>
    <row r="958" spans="1:11">
      <c r="A958" t="s">
        <v>1501</v>
      </c>
      <c r="B958" s="1">
        <v>45846</v>
      </c>
      <c r="C958" t="s">
        <v>1502</v>
      </c>
      <c r="D958" t="s">
        <v>18</v>
      </c>
      <c r="E958" t="s">
        <v>33</v>
      </c>
      <c r="F958" t="s">
        <v>34</v>
      </c>
      <c r="G958">
        <v>1</v>
      </c>
      <c r="H958" s="2">
        <v>33.9</v>
      </c>
      <c r="I958" s="3">
        <v>0.15</v>
      </c>
      <c r="J958" s="2">
        <v>28.81</v>
      </c>
      <c r="K958" t="s">
        <v>56</v>
      </c>
    </row>
    <row r="959" spans="1:11">
      <c r="A959" t="s">
        <v>1503</v>
      </c>
      <c r="B959" s="1">
        <v>46001</v>
      </c>
      <c r="C959" t="s">
        <v>1332</v>
      </c>
      <c r="D959" t="s">
        <v>22</v>
      </c>
      <c r="E959" t="s">
        <v>33</v>
      </c>
      <c r="F959" t="s">
        <v>31</v>
      </c>
      <c r="G959">
        <v>1</v>
      </c>
      <c r="H959" s="2">
        <v>72.290000000000006</v>
      </c>
      <c r="I959" s="3">
        <v>0.05</v>
      </c>
      <c r="J959" s="2">
        <v>68.680000000000007</v>
      </c>
      <c r="K959" t="s">
        <v>61</v>
      </c>
    </row>
    <row r="960" spans="1:11">
      <c r="A960" t="s">
        <v>1504</v>
      </c>
      <c r="B960" s="1">
        <v>45856</v>
      </c>
      <c r="C960" t="s">
        <v>389</v>
      </c>
      <c r="D960" t="s">
        <v>18</v>
      </c>
      <c r="E960" t="s">
        <v>17</v>
      </c>
      <c r="F960" t="s">
        <v>19</v>
      </c>
      <c r="G960">
        <v>3</v>
      </c>
      <c r="H960" s="2">
        <v>77.39</v>
      </c>
      <c r="I960" s="3">
        <v>0.05</v>
      </c>
      <c r="J960" s="2">
        <v>220.56</v>
      </c>
      <c r="K960" t="s">
        <v>79</v>
      </c>
    </row>
    <row r="961" spans="1:11">
      <c r="A961" t="s">
        <v>1505</v>
      </c>
      <c r="B961" s="1">
        <v>45810</v>
      </c>
      <c r="C961" t="s">
        <v>811</v>
      </c>
      <c r="D961" t="s">
        <v>30</v>
      </c>
      <c r="E961" t="s">
        <v>33</v>
      </c>
      <c r="F961" t="s">
        <v>31</v>
      </c>
      <c r="G961">
        <v>3</v>
      </c>
      <c r="H961" s="2">
        <v>66.81</v>
      </c>
      <c r="I961" s="3">
        <v>0.1</v>
      </c>
      <c r="J961" s="2">
        <v>180.39</v>
      </c>
      <c r="K961" t="s">
        <v>79</v>
      </c>
    </row>
    <row r="962" spans="1:11">
      <c r="A962" t="s">
        <v>1506</v>
      </c>
      <c r="B962" s="1">
        <v>45798</v>
      </c>
      <c r="C962" t="s">
        <v>993</v>
      </c>
      <c r="D962" t="s">
        <v>26</v>
      </c>
      <c r="E962" t="s">
        <v>17</v>
      </c>
      <c r="F962" t="s">
        <v>23</v>
      </c>
      <c r="G962">
        <v>2</v>
      </c>
      <c r="H962" s="2">
        <v>149.69</v>
      </c>
      <c r="I962" s="3">
        <v>0.1</v>
      </c>
      <c r="J962" s="2">
        <v>269.44</v>
      </c>
      <c r="K962" t="s">
        <v>56</v>
      </c>
    </row>
    <row r="963" spans="1:11">
      <c r="A963" t="s">
        <v>1507</v>
      </c>
      <c r="B963" s="1">
        <v>45874</v>
      </c>
      <c r="C963" t="s">
        <v>421</v>
      </c>
      <c r="D963" t="s">
        <v>26</v>
      </c>
      <c r="E963" t="s">
        <v>17</v>
      </c>
      <c r="F963" t="s">
        <v>23</v>
      </c>
      <c r="G963">
        <v>2</v>
      </c>
      <c r="H963" s="2">
        <v>139.38</v>
      </c>
      <c r="I963" s="3">
        <v>0.15</v>
      </c>
      <c r="J963" s="2">
        <v>236.95</v>
      </c>
      <c r="K963" t="s">
        <v>61</v>
      </c>
    </row>
    <row r="964" spans="1:11">
      <c r="A964" t="s">
        <v>1508</v>
      </c>
      <c r="B964" s="1">
        <v>45966</v>
      </c>
      <c r="C964" t="s">
        <v>800</v>
      </c>
      <c r="D964" t="s">
        <v>18</v>
      </c>
      <c r="E964" t="s">
        <v>25</v>
      </c>
      <c r="F964" t="s">
        <v>78</v>
      </c>
      <c r="G964">
        <v>2</v>
      </c>
      <c r="H964" s="2">
        <v>42.65</v>
      </c>
      <c r="I964" s="3">
        <v>0.1</v>
      </c>
      <c r="J964" s="2">
        <v>76.77</v>
      </c>
      <c r="K964" t="s">
        <v>56</v>
      </c>
    </row>
    <row r="965" spans="1:11">
      <c r="A965" t="s">
        <v>1509</v>
      </c>
      <c r="B965" s="1">
        <v>45986</v>
      </c>
      <c r="C965" t="s">
        <v>589</v>
      </c>
      <c r="D965" t="s">
        <v>30</v>
      </c>
      <c r="E965" t="s">
        <v>17</v>
      </c>
      <c r="F965" t="s">
        <v>27</v>
      </c>
      <c r="G965">
        <v>2</v>
      </c>
      <c r="H965" s="2">
        <v>65.55</v>
      </c>
      <c r="I965" s="3">
        <v>0</v>
      </c>
      <c r="J965" s="2">
        <v>131.1</v>
      </c>
      <c r="K965" t="s">
        <v>79</v>
      </c>
    </row>
    <row r="966" spans="1:11">
      <c r="A966" t="s">
        <v>1510</v>
      </c>
      <c r="B966" s="1">
        <v>45979</v>
      </c>
      <c r="C966" t="s">
        <v>1511</v>
      </c>
      <c r="D966" t="s">
        <v>22</v>
      </c>
      <c r="E966" t="s">
        <v>33</v>
      </c>
      <c r="F966" t="s">
        <v>34</v>
      </c>
      <c r="G966">
        <v>1</v>
      </c>
      <c r="H966" s="2">
        <v>25.44</v>
      </c>
      <c r="I966" s="3">
        <v>0</v>
      </c>
      <c r="J966" s="2">
        <v>25.44</v>
      </c>
      <c r="K966" t="s">
        <v>56</v>
      </c>
    </row>
    <row r="967" spans="1:11">
      <c r="A967" t="s">
        <v>1512</v>
      </c>
      <c r="B967" s="1">
        <v>46009</v>
      </c>
      <c r="C967" t="s">
        <v>587</v>
      </c>
      <c r="D967" t="s">
        <v>26</v>
      </c>
      <c r="E967" t="s">
        <v>25</v>
      </c>
      <c r="F967" t="s">
        <v>38</v>
      </c>
      <c r="G967">
        <v>2</v>
      </c>
      <c r="H967" s="2">
        <v>113.69</v>
      </c>
      <c r="I967" s="3">
        <v>0.1</v>
      </c>
      <c r="J967" s="2">
        <v>204.64</v>
      </c>
      <c r="K967" t="s">
        <v>79</v>
      </c>
    </row>
    <row r="968" spans="1:11">
      <c r="A968" t="s">
        <v>1513</v>
      </c>
      <c r="B968" s="1">
        <v>46009</v>
      </c>
      <c r="C968" t="s">
        <v>180</v>
      </c>
      <c r="D968" t="s">
        <v>30</v>
      </c>
      <c r="E968" t="s">
        <v>29</v>
      </c>
      <c r="F968" t="s">
        <v>68</v>
      </c>
      <c r="G968">
        <v>2</v>
      </c>
      <c r="H968" s="2">
        <v>50.12</v>
      </c>
      <c r="I968" s="3">
        <v>0</v>
      </c>
      <c r="J968" s="2">
        <v>100.24</v>
      </c>
      <c r="K968" t="s">
        <v>61</v>
      </c>
    </row>
    <row r="969" spans="1:11">
      <c r="A969" t="s">
        <v>1514</v>
      </c>
      <c r="B969" s="1">
        <v>45751</v>
      </c>
      <c r="C969" t="s">
        <v>213</v>
      </c>
      <c r="D969" t="s">
        <v>18</v>
      </c>
      <c r="E969" t="s">
        <v>25</v>
      </c>
      <c r="F969" t="s">
        <v>38</v>
      </c>
      <c r="G969">
        <v>3</v>
      </c>
      <c r="H969" s="2">
        <v>138.25</v>
      </c>
      <c r="I969" s="3">
        <v>0.15</v>
      </c>
      <c r="J969" s="2">
        <v>352.54</v>
      </c>
      <c r="K969" t="s">
        <v>79</v>
      </c>
    </row>
    <row r="970" spans="1:11">
      <c r="A970" t="s">
        <v>1515</v>
      </c>
      <c r="B970" s="1">
        <v>45943</v>
      </c>
      <c r="C970" t="s">
        <v>579</v>
      </c>
      <c r="D970" t="s">
        <v>22</v>
      </c>
      <c r="E970" t="s">
        <v>29</v>
      </c>
      <c r="F970" t="s">
        <v>92</v>
      </c>
      <c r="G970">
        <v>2</v>
      </c>
      <c r="H970" s="2">
        <v>50.9</v>
      </c>
      <c r="I970" s="3">
        <v>0</v>
      </c>
      <c r="J970" s="2">
        <v>101.8</v>
      </c>
      <c r="K970" t="s">
        <v>61</v>
      </c>
    </row>
    <row r="971" spans="1:11">
      <c r="A971" t="s">
        <v>1516</v>
      </c>
      <c r="B971" s="1">
        <v>46017</v>
      </c>
      <c r="C971" t="s">
        <v>209</v>
      </c>
      <c r="D971" t="s">
        <v>22</v>
      </c>
      <c r="E971" t="s">
        <v>17</v>
      </c>
      <c r="F971" t="s">
        <v>27</v>
      </c>
      <c r="G971">
        <v>1</v>
      </c>
      <c r="H971" s="2">
        <v>62.18</v>
      </c>
      <c r="I971" s="3">
        <v>0.15</v>
      </c>
      <c r="J971" s="2">
        <v>52.85</v>
      </c>
      <c r="K971" t="s">
        <v>79</v>
      </c>
    </row>
    <row r="972" spans="1:11">
      <c r="A972" t="s">
        <v>1517</v>
      </c>
      <c r="B972" s="1">
        <v>45846</v>
      </c>
      <c r="C972" t="s">
        <v>475</v>
      </c>
      <c r="D972" t="s">
        <v>30</v>
      </c>
      <c r="E972" t="s">
        <v>17</v>
      </c>
      <c r="F972" t="s">
        <v>27</v>
      </c>
      <c r="G972">
        <v>3</v>
      </c>
      <c r="H972" s="2">
        <v>52.43</v>
      </c>
      <c r="I972" s="3">
        <v>0.15</v>
      </c>
      <c r="J972" s="2">
        <v>133.69999999999999</v>
      </c>
      <c r="K972" t="s">
        <v>56</v>
      </c>
    </row>
    <row r="973" spans="1:11">
      <c r="A973" t="s">
        <v>1518</v>
      </c>
      <c r="B973" s="1">
        <v>45911</v>
      </c>
      <c r="C973" t="s">
        <v>546</v>
      </c>
      <c r="D973" t="s">
        <v>30</v>
      </c>
      <c r="E973" t="s">
        <v>17</v>
      </c>
      <c r="F973" t="s">
        <v>23</v>
      </c>
      <c r="G973">
        <v>1</v>
      </c>
      <c r="H973" s="2">
        <v>118.3</v>
      </c>
      <c r="I973" s="3">
        <v>0.05</v>
      </c>
      <c r="J973" s="2">
        <v>112.38</v>
      </c>
      <c r="K973" t="s">
        <v>61</v>
      </c>
    </row>
    <row r="974" spans="1:11">
      <c r="A974" t="s">
        <v>1519</v>
      </c>
      <c r="B974" s="1">
        <v>45724</v>
      </c>
      <c r="C974" t="s">
        <v>296</v>
      </c>
      <c r="D974" t="s">
        <v>30</v>
      </c>
      <c r="E974" t="s">
        <v>25</v>
      </c>
      <c r="F974" t="s">
        <v>38</v>
      </c>
      <c r="G974">
        <v>3</v>
      </c>
      <c r="H974" s="2">
        <v>124.72</v>
      </c>
      <c r="I974" s="3">
        <v>0.05</v>
      </c>
      <c r="J974" s="2">
        <v>355.45</v>
      </c>
      <c r="K974" t="s">
        <v>79</v>
      </c>
    </row>
    <row r="975" spans="1:11">
      <c r="A975" t="s">
        <v>1520</v>
      </c>
      <c r="B975" s="1">
        <v>45867</v>
      </c>
      <c r="C975" t="s">
        <v>1521</v>
      </c>
      <c r="D975" t="s">
        <v>22</v>
      </c>
      <c r="E975" t="s">
        <v>17</v>
      </c>
      <c r="F975" t="s">
        <v>27</v>
      </c>
      <c r="G975">
        <v>1</v>
      </c>
      <c r="H975" s="2">
        <v>69.16</v>
      </c>
      <c r="I975" s="3">
        <v>0</v>
      </c>
      <c r="J975" s="2">
        <v>69.16</v>
      </c>
      <c r="K975" t="s">
        <v>61</v>
      </c>
    </row>
    <row r="976" spans="1:11">
      <c r="A976" t="s">
        <v>1522</v>
      </c>
      <c r="B976" s="1">
        <v>45956</v>
      </c>
      <c r="C976" t="s">
        <v>587</v>
      </c>
      <c r="D976" t="s">
        <v>26</v>
      </c>
      <c r="E976" t="s">
        <v>29</v>
      </c>
      <c r="F976" t="s">
        <v>92</v>
      </c>
      <c r="G976">
        <v>2</v>
      </c>
      <c r="H976" s="2">
        <v>48.31</v>
      </c>
      <c r="I976" s="3">
        <v>0.1</v>
      </c>
      <c r="J976" s="2">
        <v>86.96</v>
      </c>
      <c r="K976" t="s">
        <v>56</v>
      </c>
    </row>
    <row r="977" spans="1:11">
      <c r="A977" t="s">
        <v>1523</v>
      </c>
      <c r="B977" s="1">
        <v>45861</v>
      </c>
      <c r="C977" t="s">
        <v>216</v>
      </c>
      <c r="D977" t="s">
        <v>18</v>
      </c>
      <c r="E977" t="s">
        <v>29</v>
      </c>
      <c r="F977" t="s">
        <v>92</v>
      </c>
      <c r="G977">
        <v>1</v>
      </c>
      <c r="H977" s="2">
        <v>53.71</v>
      </c>
      <c r="I977" s="3">
        <v>0.1</v>
      </c>
      <c r="J977" s="2">
        <v>48.34</v>
      </c>
      <c r="K977" t="s">
        <v>79</v>
      </c>
    </row>
    <row r="978" spans="1:11">
      <c r="A978" t="s">
        <v>1524</v>
      </c>
      <c r="B978" s="1">
        <v>45943</v>
      </c>
      <c r="C978" t="s">
        <v>116</v>
      </c>
      <c r="D978" t="s">
        <v>18</v>
      </c>
      <c r="E978" t="s">
        <v>17</v>
      </c>
      <c r="F978" t="s">
        <v>19</v>
      </c>
      <c r="G978">
        <v>1</v>
      </c>
      <c r="H978" s="2">
        <v>91.42</v>
      </c>
      <c r="I978" s="3">
        <v>0.1</v>
      </c>
      <c r="J978" s="2">
        <v>82.28</v>
      </c>
      <c r="K978" t="s">
        <v>79</v>
      </c>
    </row>
    <row r="979" spans="1:11">
      <c r="A979" t="s">
        <v>1525</v>
      </c>
      <c r="B979" s="1">
        <v>45787</v>
      </c>
      <c r="C979" t="s">
        <v>481</v>
      </c>
      <c r="D979" t="s">
        <v>22</v>
      </c>
      <c r="E979" t="s">
        <v>21</v>
      </c>
      <c r="F979" t="s">
        <v>71</v>
      </c>
      <c r="G979">
        <v>2</v>
      </c>
      <c r="H979" s="2">
        <v>65.540000000000006</v>
      </c>
      <c r="I979" s="3">
        <v>0.1</v>
      </c>
      <c r="J979" s="2">
        <v>117.97</v>
      </c>
      <c r="K979" t="s">
        <v>56</v>
      </c>
    </row>
    <row r="980" spans="1:11">
      <c r="A980" t="s">
        <v>1526</v>
      </c>
      <c r="B980" s="1">
        <v>45679</v>
      </c>
      <c r="C980" t="s">
        <v>401</v>
      </c>
      <c r="D980" t="s">
        <v>30</v>
      </c>
      <c r="E980" t="s">
        <v>29</v>
      </c>
      <c r="F980" t="s">
        <v>68</v>
      </c>
      <c r="G980">
        <v>1</v>
      </c>
      <c r="H980" s="2">
        <v>40.770000000000003</v>
      </c>
      <c r="I980" s="3">
        <v>0.1</v>
      </c>
      <c r="J980" s="2">
        <v>36.69</v>
      </c>
      <c r="K980" t="s">
        <v>79</v>
      </c>
    </row>
    <row r="981" spans="1:11">
      <c r="A981" t="s">
        <v>1527</v>
      </c>
      <c r="B981" s="1">
        <v>45703</v>
      </c>
      <c r="C981" t="s">
        <v>1528</v>
      </c>
      <c r="D981" t="s">
        <v>26</v>
      </c>
      <c r="E981" t="s">
        <v>25</v>
      </c>
      <c r="F981" t="s">
        <v>36</v>
      </c>
      <c r="G981">
        <v>2</v>
      </c>
      <c r="H981" s="2">
        <v>88.37</v>
      </c>
      <c r="I981" s="3">
        <v>0.05</v>
      </c>
      <c r="J981" s="2">
        <v>167.9</v>
      </c>
      <c r="K981" t="s">
        <v>79</v>
      </c>
    </row>
    <row r="982" spans="1:11">
      <c r="A982" t="s">
        <v>1529</v>
      </c>
      <c r="B982" s="1">
        <v>45723</v>
      </c>
      <c r="C982" t="s">
        <v>1530</v>
      </c>
      <c r="D982" t="s">
        <v>26</v>
      </c>
      <c r="E982" t="s">
        <v>21</v>
      </c>
      <c r="F982" t="s">
        <v>40</v>
      </c>
      <c r="G982">
        <v>3</v>
      </c>
      <c r="H982" s="2">
        <v>55.15</v>
      </c>
      <c r="I982" s="3">
        <v>0.05</v>
      </c>
      <c r="J982" s="2">
        <v>157.18</v>
      </c>
      <c r="K982" t="s">
        <v>61</v>
      </c>
    </row>
    <row r="983" spans="1:11">
      <c r="A983" t="s">
        <v>1531</v>
      </c>
      <c r="B983" s="1">
        <v>45971</v>
      </c>
      <c r="C983" t="s">
        <v>1532</v>
      </c>
      <c r="D983" t="s">
        <v>30</v>
      </c>
      <c r="E983" t="s">
        <v>33</v>
      </c>
      <c r="F983" t="s">
        <v>34</v>
      </c>
      <c r="G983">
        <v>1</v>
      </c>
      <c r="H983" s="2">
        <v>28.82</v>
      </c>
      <c r="I983" s="3">
        <v>0</v>
      </c>
      <c r="J983" s="2">
        <v>28.82</v>
      </c>
      <c r="K983" t="s">
        <v>79</v>
      </c>
    </row>
    <row r="984" spans="1:11">
      <c r="A984" t="s">
        <v>1533</v>
      </c>
      <c r="B984" s="1">
        <v>45942</v>
      </c>
      <c r="C984" t="s">
        <v>1534</v>
      </c>
      <c r="D984" t="s">
        <v>18</v>
      </c>
      <c r="E984" t="s">
        <v>29</v>
      </c>
      <c r="F984" t="s">
        <v>92</v>
      </c>
      <c r="G984">
        <v>2</v>
      </c>
      <c r="H984" s="2">
        <v>54.74</v>
      </c>
      <c r="I984" s="3">
        <v>0</v>
      </c>
      <c r="J984" s="2">
        <v>109.48</v>
      </c>
      <c r="K984" t="s">
        <v>79</v>
      </c>
    </row>
    <row r="985" spans="1:11">
      <c r="A985" t="s">
        <v>1535</v>
      </c>
      <c r="B985" s="1">
        <v>45751</v>
      </c>
      <c r="C985" t="s">
        <v>168</v>
      </c>
      <c r="D985" t="s">
        <v>18</v>
      </c>
      <c r="E985" t="s">
        <v>17</v>
      </c>
      <c r="F985" t="s">
        <v>19</v>
      </c>
      <c r="G985">
        <v>1</v>
      </c>
      <c r="H985" s="2">
        <v>71.41</v>
      </c>
      <c r="I985" s="3">
        <v>0.1</v>
      </c>
      <c r="J985" s="2">
        <v>64.27</v>
      </c>
      <c r="K985" t="s">
        <v>61</v>
      </c>
    </row>
    <row r="986" spans="1:11">
      <c r="A986" t="s">
        <v>1536</v>
      </c>
      <c r="B986" s="1">
        <v>45678</v>
      </c>
      <c r="C986" t="s">
        <v>451</v>
      </c>
      <c r="D986" t="s">
        <v>30</v>
      </c>
      <c r="E986" t="s">
        <v>21</v>
      </c>
      <c r="F986" t="s">
        <v>40</v>
      </c>
      <c r="G986">
        <v>1</v>
      </c>
      <c r="H986" s="2">
        <v>53.12</v>
      </c>
      <c r="I986" s="3">
        <v>0.1</v>
      </c>
      <c r="J986" s="2">
        <v>47.81</v>
      </c>
      <c r="K986" t="s">
        <v>79</v>
      </c>
    </row>
    <row r="987" spans="1:11">
      <c r="A987" t="s">
        <v>1537</v>
      </c>
      <c r="B987" s="1">
        <v>45733</v>
      </c>
      <c r="C987" t="s">
        <v>428</v>
      </c>
      <c r="D987" t="s">
        <v>22</v>
      </c>
      <c r="E987" t="s">
        <v>17</v>
      </c>
      <c r="F987" t="s">
        <v>23</v>
      </c>
      <c r="G987">
        <v>1</v>
      </c>
      <c r="H987" s="2">
        <v>118.32</v>
      </c>
      <c r="I987" s="3">
        <v>0.05</v>
      </c>
      <c r="J987" s="2">
        <v>112.4</v>
      </c>
      <c r="K987" t="s">
        <v>56</v>
      </c>
    </row>
    <row r="988" spans="1:11">
      <c r="A988" t="s">
        <v>1538</v>
      </c>
      <c r="B988" s="1">
        <v>45918</v>
      </c>
      <c r="C988" t="s">
        <v>135</v>
      </c>
      <c r="D988" t="s">
        <v>18</v>
      </c>
      <c r="E988" t="s">
        <v>33</v>
      </c>
      <c r="F988" t="s">
        <v>34</v>
      </c>
      <c r="G988">
        <v>2</v>
      </c>
      <c r="H988" s="2">
        <v>31</v>
      </c>
      <c r="I988" s="3">
        <v>0</v>
      </c>
      <c r="J988" s="2">
        <v>62</v>
      </c>
      <c r="K988" t="s">
        <v>56</v>
      </c>
    </row>
    <row r="989" spans="1:11">
      <c r="A989" t="s">
        <v>1539</v>
      </c>
      <c r="B989" s="1">
        <v>45950</v>
      </c>
      <c r="C989" t="s">
        <v>1429</v>
      </c>
      <c r="D989" t="s">
        <v>26</v>
      </c>
      <c r="E989" t="s">
        <v>17</v>
      </c>
      <c r="F989" t="s">
        <v>27</v>
      </c>
      <c r="G989">
        <v>1</v>
      </c>
      <c r="H989" s="2">
        <v>51.65</v>
      </c>
      <c r="I989" s="3">
        <v>0.1</v>
      </c>
      <c r="J989" s="2">
        <v>46.48</v>
      </c>
      <c r="K989" t="s">
        <v>79</v>
      </c>
    </row>
    <row r="990" spans="1:11">
      <c r="A990" t="s">
        <v>1540</v>
      </c>
      <c r="B990" s="1">
        <v>45803</v>
      </c>
      <c r="C990" t="s">
        <v>853</v>
      </c>
      <c r="D990" t="s">
        <v>26</v>
      </c>
      <c r="E990" t="s">
        <v>29</v>
      </c>
      <c r="F990" t="s">
        <v>92</v>
      </c>
      <c r="G990">
        <v>4</v>
      </c>
      <c r="H990" s="2">
        <v>48.96</v>
      </c>
      <c r="I990" s="3">
        <v>0.05</v>
      </c>
      <c r="J990" s="2">
        <v>186.05</v>
      </c>
      <c r="K990" t="s">
        <v>79</v>
      </c>
    </row>
    <row r="991" spans="1:11">
      <c r="A991" t="s">
        <v>1541</v>
      </c>
      <c r="B991" s="1">
        <v>45672</v>
      </c>
      <c r="C991" t="s">
        <v>748</v>
      </c>
      <c r="D991" t="s">
        <v>26</v>
      </c>
      <c r="E991" t="s">
        <v>17</v>
      </c>
      <c r="F991" t="s">
        <v>23</v>
      </c>
      <c r="G991">
        <v>1</v>
      </c>
      <c r="H991" s="2">
        <v>139.78</v>
      </c>
      <c r="I991" s="3">
        <v>0.1</v>
      </c>
      <c r="J991" s="2">
        <v>125.8</v>
      </c>
      <c r="K991" t="s">
        <v>56</v>
      </c>
    </row>
    <row r="992" spans="1:11">
      <c r="A992" t="s">
        <v>1542</v>
      </c>
      <c r="B992" s="1">
        <v>45994</v>
      </c>
      <c r="C992" t="s">
        <v>772</v>
      </c>
      <c r="D992" t="s">
        <v>26</v>
      </c>
      <c r="E992" t="s">
        <v>17</v>
      </c>
      <c r="F992" t="s">
        <v>19</v>
      </c>
      <c r="G992">
        <v>1</v>
      </c>
      <c r="H992" s="2">
        <v>68.290000000000006</v>
      </c>
      <c r="I992" s="3">
        <v>0.15</v>
      </c>
      <c r="J992" s="2">
        <v>58.05</v>
      </c>
      <c r="K992" t="s">
        <v>56</v>
      </c>
    </row>
    <row r="993" spans="1:11">
      <c r="A993" t="s">
        <v>1543</v>
      </c>
      <c r="B993" s="1">
        <v>45949</v>
      </c>
      <c r="C993" t="s">
        <v>966</v>
      </c>
      <c r="D993" t="s">
        <v>18</v>
      </c>
      <c r="E993" t="s">
        <v>17</v>
      </c>
      <c r="F993" t="s">
        <v>27</v>
      </c>
      <c r="G993">
        <v>1</v>
      </c>
      <c r="H993" s="2">
        <v>51.1</v>
      </c>
      <c r="I993" s="3">
        <v>0.05</v>
      </c>
      <c r="J993" s="2">
        <v>48.55</v>
      </c>
      <c r="K993" t="s">
        <v>56</v>
      </c>
    </row>
    <row r="994" spans="1:11">
      <c r="A994" t="s">
        <v>1544</v>
      </c>
      <c r="B994" s="1">
        <v>45694</v>
      </c>
      <c r="C994" t="s">
        <v>1545</v>
      </c>
      <c r="D994" t="s">
        <v>22</v>
      </c>
      <c r="E994" t="s">
        <v>21</v>
      </c>
      <c r="F994" t="s">
        <v>71</v>
      </c>
      <c r="G994">
        <v>4</v>
      </c>
      <c r="H994" s="2">
        <v>67.33</v>
      </c>
      <c r="I994" s="3">
        <v>0.1</v>
      </c>
      <c r="J994" s="2">
        <v>242.39</v>
      </c>
      <c r="K994" t="s">
        <v>79</v>
      </c>
    </row>
    <row r="995" spans="1:11">
      <c r="A995" t="s">
        <v>1546</v>
      </c>
      <c r="B995" s="1">
        <v>45862</v>
      </c>
      <c r="C995" t="s">
        <v>520</v>
      </c>
      <c r="D995" t="s">
        <v>26</v>
      </c>
      <c r="E995" t="s">
        <v>17</v>
      </c>
      <c r="F995" t="s">
        <v>23</v>
      </c>
      <c r="G995">
        <v>1</v>
      </c>
      <c r="H995" s="2">
        <v>118.51</v>
      </c>
      <c r="I995" s="3">
        <v>0.1</v>
      </c>
      <c r="J995" s="2">
        <v>106.66</v>
      </c>
      <c r="K995" t="s">
        <v>56</v>
      </c>
    </row>
    <row r="996" spans="1:11">
      <c r="A996" t="s">
        <v>1547</v>
      </c>
      <c r="B996" s="1">
        <v>45992</v>
      </c>
      <c r="C996" t="s">
        <v>182</v>
      </c>
      <c r="D996" t="s">
        <v>22</v>
      </c>
      <c r="E996" t="s">
        <v>17</v>
      </c>
      <c r="F996" t="s">
        <v>27</v>
      </c>
      <c r="G996">
        <v>1</v>
      </c>
      <c r="H996" s="2">
        <v>59.71</v>
      </c>
      <c r="I996" s="3">
        <v>0.1</v>
      </c>
      <c r="J996" s="2">
        <v>53.74</v>
      </c>
      <c r="K996" t="s">
        <v>61</v>
      </c>
    </row>
    <row r="997" spans="1:11">
      <c r="A997" t="s">
        <v>1548</v>
      </c>
      <c r="B997" s="1">
        <v>45998</v>
      </c>
      <c r="C997" t="s">
        <v>577</v>
      </c>
      <c r="D997" t="s">
        <v>30</v>
      </c>
      <c r="E997" t="s">
        <v>17</v>
      </c>
      <c r="F997" t="s">
        <v>23</v>
      </c>
      <c r="G997">
        <v>3</v>
      </c>
      <c r="H997" s="2">
        <v>131.47</v>
      </c>
      <c r="I997" s="3">
        <v>0.1</v>
      </c>
      <c r="J997" s="2">
        <v>354.97</v>
      </c>
      <c r="K997" t="s">
        <v>61</v>
      </c>
    </row>
    <row r="998" spans="1:11">
      <c r="A998" t="s">
        <v>1549</v>
      </c>
      <c r="B998" s="1">
        <v>45795</v>
      </c>
      <c r="C998" t="s">
        <v>1140</v>
      </c>
      <c r="D998" t="s">
        <v>22</v>
      </c>
      <c r="E998" t="s">
        <v>29</v>
      </c>
      <c r="F998" t="s">
        <v>68</v>
      </c>
      <c r="G998">
        <v>2</v>
      </c>
      <c r="H998" s="2">
        <v>39.590000000000003</v>
      </c>
      <c r="I998" s="3">
        <v>0.1</v>
      </c>
      <c r="J998" s="2">
        <v>71.260000000000005</v>
      </c>
      <c r="K998" t="s">
        <v>61</v>
      </c>
    </row>
    <row r="999" spans="1:11">
      <c r="A999" t="s">
        <v>1550</v>
      </c>
      <c r="B999" s="1">
        <v>45980</v>
      </c>
      <c r="C999" t="s">
        <v>213</v>
      </c>
      <c r="D999" t="s">
        <v>22</v>
      </c>
      <c r="E999" t="s">
        <v>25</v>
      </c>
      <c r="F999" t="s">
        <v>38</v>
      </c>
      <c r="G999">
        <v>1</v>
      </c>
      <c r="H999" s="2">
        <v>121.31</v>
      </c>
      <c r="I999" s="3">
        <v>0.1</v>
      </c>
      <c r="J999" s="2">
        <v>109.18</v>
      </c>
      <c r="K999" t="s">
        <v>61</v>
      </c>
    </row>
    <row r="1000" spans="1:11">
      <c r="A1000" t="s">
        <v>1551</v>
      </c>
      <c r="B1000" s="1">
        <v>45927</v>
      </c>
      <c r="C1000" t="s">
        <v>399</v>
      </c>
      <c r="D1000" t="s">
        <v>18</v>
      </c>
      <c r="E1000" t="s">
        <v>29</v>
      </c>
      <c r="F1000" t="s">
        <v>92</v>
      </c>
      <c r="G1000">
        <v>2</v>
      </c>
      <c r="H1000" s="2">
        <v>48.27</v>
      </c>
      <c r="I1000" s="3">
        <v>0.1</v>
      </c>
      <c r="J1000" s="2">
        <v>86.89</v>
      </c>
      <c r="K1000" t="s">
        <v>61</v>
      </c>
    </row>
    <row r="1001" spans="1:11">
      <c r="A1001" t="s">
        <v>1552</v>
      </c>
      <c r="B1001" s="1">
        <v>45811</v>
      </c>
      <c r="C1001" t="s">
        <v>567</v>
      </c>
      <c r="D1001" t="s">
        <v>30</v>
      </c>
      <c r="E1001" t="s">
        <v>17</v>
      </c>
      <c r="F1001" t="s">
        <v>27</v>
      </c>
      <c r="G1001">
        <v>4</v>
      </c>
      <c r="H1001" s="2">
        <v>63.47</v>
      </c>
      <c r="I1001" s="3">
        <v>0.05</v>
      </c>
      <c r="J1001" s="2">
        <v>241.19</v>
      </c>
      <c r="K1001" t="s">
        <v>61</v>
      </c>
    </row>
    <row r="1002" spans="1:11">
      <c r="A1002" t="s">
        <v>1553</v>
      </c>
      <c r="B1002" s="1">
        <v>45949</v>
      </c>
      <c r="C1002" t="s">
        <v>1554</v>
      </c>
      <c r="D1002" t="s">
        <v>30</v>
      </c>
      <c r="E1002" t="s">
        <v>17</v>
      </c>
      <c r="F1002" t="s">
        <v>19</v>
      </c>
      <c r="G1002">
        <v>2</v>
      </c>
      <c r="H1002" s="2">
        <v>91.06</v>
      </c>
      <c r="I1002" s="3">
        <v>0.15</v>
      </c>
      <c r="J1002" s="2">
        <v>154.80000000000001</v>
      </c>
      <c r="K1002" t="s">
        <v>61</v>
      </c>
    </row>
    <row r="1003" spans="1:11">
      <c r="A1003" t="s">
        <v>1555</v>
      </c>
      <c r="B1003" s="1">
        <v>45706</v>
      </c>
      <c r="C1003" t="s">
        <v>75</v>
      </c>
      <c r="D1003" t="s">
        <v>26</v>
      </c>
      <c r="E1003" t="s">
        <v>21</v>
      </c>
      <c r="F1003" t="s">
        <v>40</v>
      </c>
      <c r="G1003">
        <v>2</v>
      </c>
      <c r="H1003" s="2">
        <v>50.84</v>
      </c>
      <c r="I1003" s="3">
        <v>0.05</v>
      </c>
      <c r="J1003" s="2">
        <v>96.6</v>
      </c>
      <c r="K1003" t="s">
        <v>56</v>
      </c>
    </row>
    <row r="1004" spans="1:11">
      <c r="A1004" t="s">
        <v>1556</v>
      </c>
      <c r="B1004" s="1">
        <v>45699</v>
      </c>
      <c r="C1004" t="s">
        <v>757</v>
      </c>
      <c r="D1004" t="s">
        <v>22</v>
      </c>
      <c r="E1004" t="s">
        <v>21</v>
      </c>
      <c r="F1004" t="s">
        <v>71</v>
      </c>
      <c r="G1004">
        <v>1</v>
      </c>
      <c r="H1004" s="2">
        <v>75.510000000000005</v>
      </c>
      <c r="I1004" s="3">
        <v>0.1</v>
      </c>
      <c r="J1004" s="2">
        <v>67.959999999999994</v>
      </c>
      <c r="K1004" t="s">
        <v>61</v>
      </c>
    </row>
    <row r="1005" spans="1:11">
      <c r="A1005" t="s">
        <v>1557</v>
      </c>
      <c r="B1005" s="1">
        <v>45681</v>
      </c>
      <c r="C1005" t="s">
        <v>560</v>
      </c>
      <c r="D1005" t="s">
        <v>30</v>
      </c>
      <c r="E1005" t="s">
        <v>17</v>
      </c>
      <c r="F1005" t="s">
        <v>23</v>
      </c>
      <c r="G1005">
        <v>1</v>
      </c>
      <c r="H1005" s="2">
        <v>139.63999999999999</v>
      </c>
      <c r="I1005" s="3">
        <v>0.05</v>
      </c>
      <c r="J1005" s="2">
        <v>132.66</v>
      </c>
      <c r="K1005" t="s">
        <v>56</v>
      </c>
    </row>
    <row r="1006" spans="1:11">
      <c r="A1006" t="s">
        <v>1558</v>
      </c>
      <c r="B1006" s="1">
        <v>45793</v>
      </c>
      <c r="C1006" t="s">
        <v>83</v>
      </c>
      <c r="D1006" t="s">
        <v>22</v>
      </c>
      <c r="E1006" t="s">
        <v>25</v>
      </c>
      <c r="F1006" t="s">
        <v>36</v>
      </c>
      <c r="G1006">
        <v>4</v>
      </c>
      <c r="H1006" s="2">
        <v>101.24</v>
      </c>
      <c r="I1006" s="3">
        <v>0</v>
      </c>
      <c r="J1006" s="2">
        <v>404.96</v>
      </c>
      <c r="K1006" t="s">
        <v>79</v>
      </c>
    </row>
    <row r="1007" spans="1:11">
      <c r="A1007" t="s">
        <v>1559</v>
      </c>
      <c r="B1007" s="1">
        <v>45967</v>
      </c>
      <c r="C1007" t="s">
        <v>1174</v>
      </c>
      <c r="D1007" t="s">
        <v>18</v>
      </c>
      <c r="E1007" t="s">
        <v>33</v>
      </c>
      <c r="F1007" t="s">
        <v>34</v>
      </c>
      <c r="G1007">
        <v>3</v>
      </c>
      <c r="H1007" s="2">
        <v>25.67</v>
      </c>
      <c r="I1007" s="3">
        <v>0.15</v>
      </c>
      <c r="J1007" s="2">
        <v>65.459999999999994</v>
      </c>
      <c r="K1007" t="s">
        <v>61</v>
      </c>
    </row>
    <row r="1008" spans="1:11">
      <c r="A1008" t="s">
        <v>1560</v>
      </c>
      <c r="B1008" s="1">
        <v>45717</v>
      </c>
      <c r="C1008" t="s">
        <v>128</v>
      </c>
      <c r="D1008" t="s">
        <v>26</v>
      </c>
      <c r="E1008" t="s">
        <v>17</v>
      </c>
      <c r="F1008" t="s">
        <v>19</v>
      </c>
      <c r="G1008">
        <v>1</v>
      </c>
      <c r="H1008" s="2">
        <v>79.59</v>
      </c>
      <c r="I1008" s="3">
        <v>0.1</v>
      </c>
      <c r="J1008" s="2">
        <v>71.63</v>
      </c>
      <c r="K1008" t="s">
        <v>56</v>
      </c>
    </row>
    <row r="1009" spans="1:11">
      <c r="A1009" t="s">
        <v>1561</v>
      </c>
      <c r="B1009" s="1">
        <v>45973</v>
      </c>
      <c r="C1009" t="s">
        <v>509</v>
      </c>
      <c r="D1009" t="s">
        <v>18</v>
      </c>
      <c r="E1009" t="s">
        <v>25</v>
      </c>
      <c r="F1009" t="s">
        <v>36</v>
      </c>
      <c r="G1009">
        <v>2</v>
      </c>
      <c r="H1009" s="2">
        <v>103.94</v>
      </c>
      <c r="I1009" s="3">
        <v>0.1</v>
      </c>
      <c r="J1009" s="2">
        <v>187.09</v>
      </c>
      <c r="K1009" t="s">
        <v>79</v>
      </c>
    </row>
    <row r="1010" spans="1:11">
      <c r="A1010" t="s">
        <v>1562</v>
      </c>
      <c r="B1010" s="1">
        <v>45727</v>
      </c>
      <c r="C1010" t="s">
        <v>1297</v>
      </c>
      <c r="D1010" t="s">
        <v>22</v>
      </c>
      <c r="E1010" t="s">
        <v>17</v>
      </c>
      <c r="F1010" t="s">
        <v>19</v>
      </c>
      <c r="G1010">
        <v>1</v>
      </c>
      <c r="H1010" s="2">
        <v>88.42</v>
      </c>
      <c r="I1010" s="3">
        <v>0</v>
      </c>
      <c r="J1010" s="2">
        <v>88.42</v>
      </c>
      <c r="K1010" t="s">
        <v>61</v>
      </c>
    </row>
    <row r="1011" spans="1:11">
      <c r="A1011" t="s">
        <v>1563</v>
      </c>
      <c r="B1011" s="1">
        <v>45990</v>
      </c>
      <c r="C1011" t="s">
        <v>538</v>
      </c>
      <c r="D1011" t="s">
        <v>18</v>
      </c>
      <c r="E1011" t="s">
        <v>17</v>
      </c>
      <c r="F1011" t="s">
        <v>27</v>
      </c>
      <c r="G1011">
        <v>2</v>
      </c>
      <c r="H1011" s="2">
        <v>58.63</v>
      </c>
      <c r="I1011" s="3">
        <v>0.15</v>
      </c>
      <c r="J1011" s="2">
        <v>99.67</v>
      </c>
      <c r="K1011" t="s">
        <v>61</v>
      </c>
    </row>
    <row r="1012" spans="1:11">
      <c r="A1012" t="s">
        <v>1564</v>
      </c>
      <c r="B1012" s="1">
        <v>45895</v>
      </c>
      <c r="C1012" t="s">
        <v>198</v>
      </c>
      <c r="D1012" t="s">
        <v>30</v>
      </c>
      <c r="E1012" t="s">
        <v>17</v>
      </c>
      <c r="F1012" t="s">
        <v>27</v>
      </c>
      <c r="G1012">
        <v>1</v>
      </c>
      <c r="H1012" s="2">
        <v>50.57</v>
      </c>
      <c r="I1012" s="3">
        <v>0</v>
      </c>
      <c r="J1012" s="2">
        <v>50.57</v>
      </c>
      <c r="K1012" t="s">
        <v>61</v>
      </c>
    </row>
    <row r="1013" spans="1:11">
      <c r="A1013" t="s">
        <v>1565</v>
      </c>
      <c r="B1013" s="1">
        <v>45899</v>
      </c>
      <c r="C1013" t="s">
        <v>947</v>
      </c>
      <c r="D1013" t="s">
        <v>30</v>
      </c>
      <c r="E1013" t="s">
        <v>17</v>
      </c>
      <c r="F1013" t="s">
        <v>19</v>
      </c>
      <c r="G1013">
        <v>3</v>
      </c>
      <c r="H1013" s="2">
        <v>82.41</v>
      </c>
      <c r="I1013" s="3">
        <v>0</v>
      </c>
      <c r="J1013" s="2">
        <v>247.23</v>
      </c>
      <c r="K1013" t="s">
        <v>79</v>
      </c>
    </row>
    <row r="1014" spans="1:11">
      <c r="A1014" t="s">
        <v>1566</v>
      </c>
      <c r="B1014" s="1">
        <v>45828</v>
      </c>
      <c r="C1014" t="s">
        <v>288</v>
      </c>
      <c r="D1014" t="s">
        <v>30</v>
      </c>
      <c r="E1014" t="s">
        <v>17</v>
      </c>
      <c r="F1014" t="s">
        <v>19</v>
      </c>
      <c r="G1014">
        <v>1</v>
      </c>
      <c r="H1014" s="2">
        <v>89.25</v>
      </c>
      <c r="I1014" s="3">
        <v>0.1</v>
      </c>
      <c r="J1014" s="2">
        <v>80.33</v>
      </c>
      <c r="K1014" t="s">
        <v>56</v>
      </c>
    </row>
    <row r="1015" spans="1:11">
      <c r="A1015" t="s">
        <v>1567</v>
      </c>
      <c r="B1015" s="1">
        <v>45954</v>
      </c>
      <c r="C1015" t="s">
        <v>1123</v>
      </c>
      <c r="D1015" t="s">
        <v>30</v>
      </c>
      <c r="E1015" t="s">
        <v>29</v>
      </c>
      <c r="F1015" t="s">
        <v>68</v>
      </c>
      <c r="G1015">
        <v>2</v>
      </c>
      <c r="H1015" s="2">
        <v>53.09</v>
      </c>
      <c r="I1015" s="3">
        <v>0</v>
      </c>
      <c r="J1015" s="2">
        <v>106.18</v>
      </c>
      <c r="K1015" t="s">
        <v>61</v>
      </c>
    </row>
    <row r="1016" spans="1:11">
      <c r="A1016" t="s">
        <v>1568</v>
      </c>
      <c r="B1016" s="1">
        <v>45920</v>
      </c>
      <c r="C1016" t="s">
        <v>1196</v>
      </c>
      <c r="D1016" t="s">
        <v>18</v>
      </c>
      <c r="E1016" t="s">
        <v>29</v>
      </c>
      <c r="F1016" t="s">
        <v>68</v>
      </c>
      <c r="G1016">
        <v>2</v>
      </c>
      <c r="H1016" s="2">
        <v>52.14</v>
      </c>
      <c r="I1016" s="3">
        <v>0.1</v>
      </c>
      <c r="J1016" s="2">
        <v>93.85</v>
      </c>
      <c r="K1016" t="s">
        <v>56</v>
      </c>
    </row>
    <row r="1017" spans="1:11">
      <c r="A1017" t="s">
        <v>1569</v>
      </c>
      <c r="B1017" s="1">
        <v>45667</v>
      </c>
      <c r="C1017" t="s">
        <v>1570</v>
      </c>
      <c r="D1017" t="s">
        <v>30</v>
      </c>
      <c r="E1017" t="s">
        <v>25</v>
      </c>
      <c r="F1017" t="s">
        <v>38</v>
      </c>
      <c r="G1017">
        <v>2</v>
      </c>
      <c r="H1017" s="2">
        <v>122.88</v>
      </c>
      <c r="I1017" s="3">
        <v>0.05</v>
      </c>
      <c r="J1017" s="2">
        <v>233.47</v>
      </c>
      <c r="K1017" t="s">
        <v>79</v>
      </c>
    </row>
    <row r="1018" spans="1:11">
      <c r="A1018" t="s">
        <v>1571</v>
      </c>
      <c r="B1018" s="1">
        <v>45911</v>
      </c>
      <c r="C1018" t="s">
        <v>397</v>
      </c>
      <c r="D1018" t="s">
        <v>22</v>
      </c>
      <c r="E1018" t="s">
        <v>29</v>
      </c>
      <c r="F1018" t="s">
        <v>68</v>
      </c>
      <c r="G1018">
        <v>3</v>
      </c>
      <c r="H1018" s="2">
        <v>43.4</v>
      </c>
      <c r="I1018" s="3">
        <v>0.1</v>
      </c>
      <c r="J1018" s="2">
        <v>117.18</v>
      </c>
      <c r="K1018" t="s">
        <v>61</v>
      </c>
    </row>
    <row r="1019" spans="1:11">
      <c r="A1019" t="s">
        <v>1572</v>
      </c>
      <c r="B1019" s="1">
        <v>45756</v>
      </c>
      <c r="C1019" t="s">
        <v>401</v>
      </c>
      <c r="D1019" t="s">
        <v>30</v>
      </c>
      <c r="E1019" t="s">
        <v>21</v>
      </c>
      <c r="F1019" t="s">
        <v>40</v>
      </c>
      <c r="G1019">
        <v>1</v>
      </c>
      <c r="H1019" s="2">
        <v>45.4</v>
      </c>
      <c r="I1019" s="3">
        <v>0</v>
      </c>
      <c r="J1019" s="2">
        <v>45.4</v>
      </c>
      <c r="K1019" t="s">
        <v>79</v>
      </c>
    </row>
    <row r="1020" spans="1:11">
      <c r="A1020" t="s">
        <v>1573</v>
      </c>
      <c r="B1020" s="1">
        <v>45808</v>
      </c>
      <c r="C1020" t="s">
        <v>1008</v>
      </c>
      <c r="D1020" t="s">
        <v>22</v>
      </c>
      <c r="E1020" t="s">
        <v>25</v>
      </c>
      <c r="F1020" t="s">
        <v>78</v>
      </c>
      <c r="G1020">
        <v>2</v>
      </c>
      <c r="H1020" s="2">
        <v>45.5</v>
      </c>
      <c r="I1020" s="3">
        <v>0.05</v>
      </c>
      <c r="J1020" s="2">
        <v>86.45</v>
      </c>
      <c r="K1020" t="s">
        <v>56</v>
      </c>
    </row>
    <row r="1021" spans="1:11">
      <c r="A1021" t="s">
        <v>1574</v>
      </c>
      <c r="B1021" s="1">
        <v>45764</v>
      </c>
      <c r="C1021" t="s">
        <v>425</v>
      </c>
      <c r="D1021" t="s">
        <v>22</v>
      </c>
      <c r="E1021" t="s">
        <v>33</v>
      </c>
      <c r="F1021" t="s">
        <v>34</v>
      </c>
      <c r="G1021">
        <v>2</v>
      </c>
      <c r="H1021" s="2">
        <v>25.47</v>
      </c>
      <c r="I1021" s="3">
        <v>0.1</v>
      </c>
      <c r="J1021" s="2">
        <v>45.85</v>
      </c>
      <c r="K1021" t="s">
        <v>79</v>
      </c>
    </row>
    <row r="1022" spans="1:11">
      <c r="A1022" t="s">
        <v>1575</v>
      </c>
      <c r="B1022" s="1">
        <v>45738</v>
      </c>
      <c r="C1022" t="s">
        <v>503</v>
      </c>
      <c r="D1022" t="s">
        <v>22</v>
      </c>
      <c r="E1022" t="s">
        <v>29</v>
      </c>
      <c r="F1022" t="s">
        <v>68</v>
      </c>
      <c r="G1022">
        <v>1</v>
      </c>
      <c r="H1022" s="2">
        <v>50.03</v>
      </c>
      <c r="I1022" s="3">
        <v>0.1</v>
      </c>
      <c r="J1022" s="2">
        <v>45.03</v>
      </c>
      <c r="K1022" t="s">
        <v>79</v>
      </c>
    </row>
    <row r="1023" spans="1:11">
      <c r="A1023" t="s">
        <v>1576</v>
      </c>
      <c r="B1023" s="1">
        <v>45943</v>
      </c>
      <c r="C1023" t="s">
        <v>1426</v>
      </c>
      <c r="D1023" t="s">
        <v>22</v>
      </c>
      <c r="E1023" t="s">
        <v>17</v>
      </c>
      <c r="F1023" t="s">
        <v>19</v>
      </c>
      <c r="G1023">
        <v>4</v>
      </c>
      <c r="H1023" s="2">
        <v>76.5</v>
      </c>
      <c r="I1023" s="3">
        <v>0.05</v>
      </c>
      <c r="J1023" s="2">
        <v>290.7</v>
      </c>
      <c r="K1023" t="s">
        <v>79</v>
      </c>
    </row>
    <row r="1024" spans="1:11">
      <c r="A1024" t="s">
        <v>1577</v>
      </c>
      <c r="B1024" s="1">
        <v>45915</v>
      </c>
      <c r="C1024" t="s">
        <v>1578</v>
      </c>
      <c r="D1024" t="s">
        <v>18</v>
      </c>
      <c r="E1024" t="s">
        <v>17</v>
      </c>
      <c r="F1024" t="s">
        <v>19</v>
      </c>
      <c r="G1024">
        <v>2</v>
      </c>
      <c r="H1024" s="2">
        <v>75.95</v>
      </c>
      <c r="I1024" s="3">
        <v>0</v>
      </c>
      <c r="J1024" s="2">
        <v>151.9</v>
      </c>
      <c r="K1024" t="s">
        <v>56</v>
      </c>
    </row>
    <row r="1025" spans="1:11">
      <c r="A1025" t="s">
        <v>1579</v>
      </c>
      <c r="B1025" s="1">
        <v>45772</v>
      </c>
      <c r="C1025" t="s">
        <v>309</v>
      </c>
      <c r="D1025" t="s">
        <v>26</v>
      </c>
      <c r="E1025" t="s">
        <v>21</v>
      </c>
      <c r="F1025" t="s">
        <v>40</v>
      </c>
      <c r="G1025">
        <v>1</v>
      </c>
      <c r="H1025" s="2">
        <v>47.15</v>
      </c>
      <c r="I1025" s="3">
        <v>0.05</v>
      </c>
      <c r="J1025" s="2">
        <v>44.79</v>
      </c>
      <c r="K1025" t="s">
        <v>79</v>
      </c>
    </row>
    <row r="1026" spans="1:11">
      <c r="A1026" t="s">
        <v>1580</v>
      </c>
      <c r="B1026" s="1">
        <v>46011</v>
      </c>
      <c r="C1026" t="s">
        <v>108</v>
      </c>
      <c r="D1026" t="s">
        <v>30</v>
      </c>
      <c r="E1026" t="s">
        <v>21</v>
      </c>
      <c r="F1026" t="s">
        <v>71</v>
      </c>
      <c r="G1026">
        <v>2</v>
      </c>
      <c r="H1026" s="2">
        <v>61.02</v>
      </c>
      <c r="I1026" s="3">
        <v>0</v>
      </c>
      <c r="J1026" s="2">
        <v>122.04</v>
      </c>
      <c r="K1026" t="s">
        <v>79</v>
      </c>
    </row>
    <row r="1027" spans="1:11">
      <c r="A1027" t="s">
        <v>1581</v>
      </c>
      <c r="B1027" s="1">
        <v>45712</v>
      </c>
      <c r="C1027" t="s">
        <v>370</v>
      </c>
      <c r="D1027" t="s">
        <v>18</v>
      </c>
      <c r="E1027" t="s">
        <v>29</v>
      </c>
      <c r="F1027" t="s">
        <v>68</v>
      </c>
      <c r="G1027">
        <v>2</v>
      </c>
      <c r="H1027" s="2">
        <v>51</v>
      </c>
      <c r="I1027" s="3">
        <v>0</v>
      </c>
      <c r="J1027" s="2">
        <v>102</v>
      </c>
      <c r="K1027" t="s">
        <v>56</v>
      </c>
    </row>
    <row r="1028" spans="1:11">
      <c r="A1028" t="s">
        <v>1582</v>
      </c>
      <c r="B1028" s="1">
        <v>45711</v>
      </c>
      <c r="C1028" t="s">
        <v>258</v>
      </c>
      <c r="D1028" t="s">
        <v>26</v>
      </c>
      <c r="E1028" t="s">
        <v>17</v>
      </c>
      <c r="F1028" t="s">
        <v>27</v>
      </c>
      <c r="G1028">
        <v>2</v>
      </c>
      <c r="H1028" s="2">
        <v>67.11</v>
      </c>
      <c r="I1028" s="3">
        <v>0.05</v>
      </c>
      <c r="J1028" s="2">
        <v>127.51</v>
      </c>
      <c r="K1028" t="s">
        <v>56</v>
      </c>
    </row>
    <row r="1029" spans="1:11">
      <c r="A1029" t="s">
        <v>1583</v>
      </c>
      <c r="B1029" s="1">
        <v>45884</v>
      </c>
      <c r="C1029" t="s">
        <v>1132</v>
      </c>
      <c r="D1029" t="s">
        <v>26</v>
      </c>
      <c r="E1029" t="s">
        <v>21</v>
      </c>
      <c r="F1029" t="s">
        <v>71</v>
      </c>
      <c r="G1029">
        <v>1</v>
      </c>
      <c r="H1029" s="2">
        <v>78.47</v>
      </c>
      <c r="I1029" s="3">
        <v>0</v>
      </c>
      <c r="J1029" s="2">
        <v>78.47</v>
      </c>
      <c r="K1029" t="s">
        <v>79</v>
      </c>
    </row>
    <row r="1030" spans="1:11">
      <c r="A1030" t="s">
        <v>1584</v>
      </c>
      <c r="B1030" s="1">
        <v>45720</v>
      </c>
      <c r="C1030" t="s">
        <v>765</v>
      </c>
      <c r="D1030" t="s">
        <v>30</v>
      </c>
      <c r="E1030" t="s">
        <v>33</v>
      </c>
      <c r="F1030" t="s">
        <v>31</v>
      </c>
      <c r="G1030">
        <v>1</v>
      </c>
      <c r="H1030" s="2">
        <v>73.05</v>
      </c>
      <c r="I1030" s="3">
        <v>0</v>
      </c>
      <c r="J1030" s="2">
        <v>73.05</v>
      </c>
      <c r="K1030" t="s">
        <v>61</v>
      </c>
    </row>
    <row r="1031" spans="1:11">
      <c r="A1031" t="s">
        <v>1585</v>
      </c>
      <c r="B1031" s="1">
        <v>45804</v>
      </c>
      <c r="C1031" t="s">
        <v>658</v>
      </c>
      <c r="D1031" t="s">
        <v>22</v>
      </c>
      <c r="E1031" t="s">
        <v>21</v>
      </c>
      <c r="F1031" t="s">
        <v>71</v>
      </c>
      <c r="G1031">
        <v>1</v>
      </c>
      <c r="H1031" s="2">
        <v>64.709999999999994</v>
      </c>
      <c r="I1031" s="3">
        <v>0.1</v>
      </c>
      <c r="J1031" s="2">
        <v>58.24</v>
      </c>
      <c r="K1031" t="s">
        <v>79</v>
      </c>
    </row>
    <row r="1032" spans="1:11">
      <c r="A1032" t="s">
        <v>1586</v>
      </c>
      <c r="B1032" s="1">
        <v>45929</v>
      </c>
      <c r="C1032" t="s">
        <v>1267</v>
      </c>
      <c r="D1032" t="s">
        <v>30</v>
      </c>
      <c r="E1032" t="s">
        <v>25</v>
      </c>
      <c r="F1032" t="s">
        <v>38</v>
      </c>
      <c r="G1032">
        <v>2</v>
      </c>
      <c r="H1032" s="2">
        <v>106.57</v>
      </c>
      <c r="I1032" s="3">
        <v>0.1</v>
      </c>
      <c r="J1032" s="2">
        <v>191.83</v>
      </c>
      <c r="K1032" t="s">
        <v>61</v>
      </c>
    </row>
    <row r="1033" spans="1:11">
      <c r="A1033" t="s">
        <v>1587</v>
      </c>
      <c r="B1033" s="1">
        <v>45922</v>
      </c>
      <c r="C1033" t="s">
        <v>1095</v>
      </c>
      <c r="D1033" t="s">
        <v>18</v>
      </c>
      <c r="E1033" t="s">
        <v>29</v>
      </c>
      <c r="F1033" t="s">
        <v>92</v>
      </c>
      <c r="G1033">
        <v>1</v>
      </c>
      <c r="H1033" s="2">
        <v>47.29</v>
      </c>
      <c r="I1033" s="3">
        <v>0</v>
      </c>
      <c r="J1033" s="2">
        <v>47.29</v>
      </c>
      <c r="K1033" t="s">
        <v>79</v>
      </c>
    </row>
    <row r="1034" spans="1:11">
      <c r="A1034" t="s">
        <v>1588</v>
      </c>
      <c r="B1034" s="1">
        <v>45831</v>
      </c>
      <c r="C1034" t="s">
        <v>118</v>
      </c>
      <c r="D1034" t="s">
        <v>30</v>
      </c>
      <c r="E1034" t="s">
        <v>25</v>
      </c>
      <c r="F1034" t="s">
        <v>36</v>
      </c>
      <c r="G1034">
        <v>1</v>
      </c>
      <c r="H1034" s="2">
        <v>98.33</v>
      </c>
      <c r="I1034" s="3">
        <v>0.1</v>
      </c>
      <c r="J1034" s="2">
        <v>88.5</v>
      </c>
      <c r="K1034" t="s">
        <v>79</v>
      </c>
    </row>
    <row r="1035" spans="1:11">
      <c r="A1035" t="s">
        <v>1589</v>
      </c>
      <c r="B1035" s="1">
        <v>45996</v>
      </c>
      <c r="C1035" t="s">
        <v>174</v>
      </c>
      <c r="D1035" t="s">
        <v>30</v>
      </c>
      <c r="E1035" t="s">
        <v>29</v>
      </c>
      <c r="F1035" t="s">
        <v>92</v>
      </c>
      <c r="G1035">
        <v>1</v>
      </c>
      <c r="H1035" s="2">
        <v>57.18</v>
      </c>
      <c r="I1035" s="3">
        <v>0.15</v>
      </c>
      <c r="J1035" s="2">
        <v>48.6</v>
      </c>
      <c r="K1035" t="s">
        <v>61</v>
      </c>
    </row>
    <row r="1036" spans="1:11">
      <c r="A1036" t="s">
        <v>1590</v>
      </c>
      <c r="B1036" s="1">
        <v>46006</v>
      </c>
      <c r="C1036" t="s">
        <v>1591</v>
      </c>
      <c r="D1036" t="s">
        <v>18</v>
      </c>
      <c r="E1036" t="s">
        <v>25</v>
      </c>
      <c r="F1036" t="s">
        <v>78</v>
      </c>
      <c r="G1036">
        <v>2</v>
      </c>
      <c r="H1036" s="2">
        <v>37.07</v>
      </c>
      <c r="I1036" s="3">
        <v>0.05</v>
      </c>
      <c r="J1036" s="2">
        <v>70.430000000000007</v>
      </c>
      <c r="K1036" t="s">
        <v>61</v>
      </c>
    </row>
    <row r="1037" spans="1:11">
      <c r="A1037" t="s">
        <v>1592</v>
      </c>
      <c r="B1037" s="1">
        <v>45928</v>
      </c>
      <c r="C1037" t="s">
        <v>1593</v>
      </c>
      <c r="D1037" t="s">
        <v>30</v>
      </c>
      <c r="E1037" t="s">
        <v>29</v>
      </c>
      <c r="F1037" t="s">
        <v>68</v>
      </c>
      <c r="G1037">
        <v>3</v>
      </c>
      <c r="H1037" s="2">
        <v>48.65</v>
      </c>
      <c r="I1037" s="3">
        <v>0.1</v>
      </c>
      <c r="J1037" s="2">
        <v>131.35</v>
      </c>
      <c r="K1037" t="s">
        <v>56</v>
      </c>
    </row>
    <row r="1038" spans="1:11">
      <c r="A1038" t="s">
        <v>1594</v>
      </c>
      <c r="B1038" s="1">
        <v>45834</v>
      </c>
      <c r="C1038" t="s">
        <v>180</v>
      </c>
      <c r="D1038" t="s">
        <v>18</v>
      </c>
      <c r="E1038" t="s">
        <v>29</v>
      </c>
      <c r="F1038" t="s">
        <v>92</v>
      </c>
      <c r="G1038">
        <v>1</v>
      </c>
      <c r="H1038" s="2">
        <v>50.33</v>
      </c>
      <c r="I1038" s="3">
        <v>0.05</v>
      </c>
      <c r="J1038" s="2">
        <v>47.81</v>
      </c>
      <c r="K1038" t="s">
        <v>56</v>
      </c>
    </row>
    <row r="1039" spans="1:11">
      <c r="A1039" t="s">
        <v>1595</v>
      </c>
      <c r="B1039" s="1">
        <v>45829</v>
      </c>
      <c r="C1039" t="s">
        <v>170</v>
      </c>
      <c r="D1039" t="s">
        <v>26</v>
      </c>
      <c r="E1039" t="s">
        <v>25</v>
      </c>
      <c r="F1039" t="s">
        <v>38</v>
      </c>
      <c r="G1039">
        <v>2</v>
      </c>
      <c r="H1039" s="2">
        <v>130.21</v>
      </c>
      <c r="I1039" s="3">
        <v>0</v>
      </c>
      <c r="J1039" s="2">
        <v>260.42</v>
      </c>
      <c r="K1039" t="s">
        <v>79</v>
      </c>
    </row>
    <row r="1040" spans="1:11">
      <c r="A1040" t="s">
        <v>1596</v>
      </c>
      <c r="B1040" s="1">
        <v>45705</v>
      </c>
      <c r="C1040" t="s">
        <v>1251</v>
      </c>
      <c r="D1040" t="s">
        <v>18</v>
      </c>
      <c r="E1040" t="s">
        <v>21</v>
      </c>
      <c r="F1040" t="s">
        <v>71</v>
      </c>
      <c r="G1040">
        <v>2</v>
      </c>
      <c r="H1040" s="2">
        <v>70.52</v>
      </c>
      <c r="I1040" s="3">
        <v>0</v>
      </c>
      <c r="J1040" s="2">
        <v>141.04</v>
      </c>
      <c r="K1040" t="s">
        <v>56</v>
      </c>
    </row>
    <row r="1041" spans="1:11">
      <c r="A1041" t="s">
        <v>1597</v>
      </c>
      <c r="B1041" s="1">
        <v>45961</v>
      </c>
      <c r="C1041" t="s">
        <v>700</v>
      </c>
      <c r="D1041" t="s">
        <v>18</v>
      </c>
      <c r="E1041" t="s">
        <v>33</v>
      </c>
      <c r="F1041" t="s">
        <v>34</v>
      </c>
      <c r="G1041">
        <v>1</v>
      </c>
      <c r="H1041" s="2">
        <v>32.06</v>
      </c>
      <c r="I1041" s="3">
        <v>0.1</v>
      </c>
      <c r="J1041" s="2">
        <v>28.85</v>
      </c>
      <c r="K1041" t="s">
        <v>56</v>
      </c>
    </row>
    <row r="1042" spans="1:11">
      <c r="A1042" t="s">
        <v>1598</v>
      </c>
      <c r="B1042" s="1">
        <v>45688</v>
      </c>
      <c r="C1042" t="s">
        <v>1599</v>
      </c>
      <c r="D1042" t="s">
        <v>18</v>
      </c>
      <c r="E1042" t="s">
        <v>25</v>
      </c>
      <c r="F1042" t="s">
        <v>36</v>
      </c>
      <c r="G1042">
        <v>1</v>
      </c>
      <c r="H1042" s="2">
        <v>90.56</v>
      </c>
      <c r="I1042" s="3">
        <v>0</v>
      </c>
      <c r="J1042" s="2">
        <v>90.56</v>
      </c>
      <c r="K1042" t="s">
        <v>61</v>
      </c>
    </row>
    <row r="1043" spans="1:11">
      <c r="A1043" t="s">
        <v>1600</v>
      </c>
      <c r="B1043" s="1">
        <v>45810</v>
      </c>
      <c r="C1043" t="s">
        <v>1601</v>
      </c>
      <c r="D1043" t="s">
        <v>22</v>
      </c>
      <c r="E1043" t="s">
        <v>29</v>
      </c>
      <c r="F1043" t="s">
        <v>68</v>
      </c>
      <c r="G1043">
        <v>2</v>
      </c>
      <c r="H1043" s="2">
        <v>44.98</v>
      </c>
      <c r="I1043" s="3">
        <v>0</v>
      </c>
      <c r="J1043" s="2">
        <v>89.96</v>
      </c>
      <c r="K1043" t="s">
        <v>61</v>
      </c>
    </row>
    <row r="1044" spans="1:11">
      <c r="A1044" t="s">
        <v>1602</v>
      </c>
      <c r="B1044" s="1">
        <v>45811</v>
      </c>
      <c r="C1044" t="s">
        <v>120</v>
      </c>
      <c r="D1044" t="s">
        <v>30</v>
      </c>
      <c r="E1044" t="s">
        <v>33</v>
      </c>
      <c r="F1044" t="s">
        <v>34</v>
      </c>
      <c r="G1044">
        <v>2</v>
      </c>
      <c r="H1044" s="2">
        <v>32.450000000000003</v>
      </c>
      <c r="I1044" s="3">
        <v>0.15</v>
      </c>
      <c r="J1044" s="2">
        <v>55.17</v>
      </c>
      <c r="K1044" t="s">
        <v>56</v>
      </c>
    </row>
    <row r="1045" spans="1:11">
      <c r="A1045" t="s">
        <v>1603</v>
      </c>
      <c r="B1045" s="1">
        <v>45784</v>
      </c>
      <c r="C1045" t="s">
        <v>560</v>
      </c>
      <c r="D1045" t="s">
        <v>18</v>
      </c>
      <c r="E1045" t="s">
        <v>17</v>
      </c>
      <c r="F1045" t="s">
        <v>23</v>
      </c>
      <c r="G1045">
        <v>1</v>
      </c>
      <c r="H1045" s="2">
        <v>134.44</v>
      </c>
      <c r="I1045" s="3">
        <v>0.05</v>
      </c>
      <c r="J1045" s="2">
        <v>127.72</v>
      </c>
      <c r="K1045" t="s">
        <v>79</v>
      </c>
    </row>
    <row r="1046" spans="1:11">
      <c r="A1046" t="s">
        <v>1604</v>
      </c>
      <c r="B1046" s="1">
        <v>46022</v>
      </c>
      <c r="C1046" t="s">
        <v>188</v>
      </c>
      <c r="D1046" t="s">
        <v>22</v>
      </c>
      <c r="E1046" t="s">
        <v>25</v>
      </c>
      <c r="F1046" t="s">
        <v>38</v>
      </c>
      <c r="G1046">
        <v>2</v>
      </c>
      <c r="H1046" s="2">
        <v>104.37</v>
      </c>
      <c r="I1046" s="3">
        <v>0</v>
      </c>
      <c r="J1046" s="2">
        <v>208.74</v>
      </c>
      <c r="K1046" t="s">
        <v>61</v>
      </c>
    </row>
    <row r="1047" spans="1:11">
      <c r="A1047" t="s">
        <v>1605</v>
      </c>
      <c r="B1047" s="1">
        <v>45767</v>
      </c>
      <c r="C1047" t="s">
        <v>606</v>
      </c>
      <c r="D1047" t="s">
        <v>30</v>
      </c>
      <c r="E1047" t="s">
        <v>21</v>
      </c>
      <c r="F1047" t="s">
        <v>40</v>
      </c>
      <c r="G1047">
        <v>1</v>
      </c>
      <c r="H1047" s="2">
        <v>52.59</v>
      </c>
      <c r="I1047" s="3">
        <v>0.1</v>
      </c>
      <c r="J1047" s="2">
        <v>47.33</v>
      </c>
      <c r="K1047" t="s">
        <v>61</v>
      </c>
    </row>
    <row r="1048" spans="1:11">
      <c r="A1048" t="s">
        <v>1606</v>
      </c>
      <c r="B1048" s="1">
        <v>45957</v>
      </c>
      <c r="C1048" t="s">
        <v>905</v>
      </c>
      <c r="D1048" t="s">
        <v>22</v>
      </c>
      <c r="E1048" t="s">
        <v>21</v>
      </c>
      <c r="F1048" t="s">
        <v>40</v>
      </c>
      <c r="G1048">
        <v>2</v>
      </c>
      <c r="H1048" s="2">
        <v>57.76</v>
      </c>
      <c r="I1048" s="3">
        <v>0.1</v>
      </c>
      <c r="J1048" s="2">
        <v>103.97</v>
      </c>
      <c r="K1048" t="s">
        <v>79</v>
      </c>
    </row>
    <row r="1049" spans="1:11">
      <c r="A1049" t="s">
        <v>1607</v>
      </c>
      <c r="B1049" s="1">
        <v>45916</v>
      </c>
      <c r="C1049" t="s">
        <v>143</v>
      </c>
      <c r="D1049" t="s">
        <v>18</v>
      </c>
      <c r="E1049" t="s">
        <v>17</v>
      </c>
      <c r="F1049" t="s">
        <v>27</v>
      </c>
      <c r="G1049">
        <v>1</v>
      </c>
      <c r="H1049" s="2">
        <v>59.06</v>
      </c>
      <c r="I1049" s="3">
        <v>0.15</v>
      </c>
      <c r="J1049" s="2">
        <v>50.2</v>
      </c>
      <c r="K1049" t="s">
        <v>56</v>
      </c>
    </row>
    <row r="1050" spans="1:11">
      <c r="A1050" t="s">
        <v>1608</v>
      </c>
      <c r="B1050" s="1">
        <v>45766</v>
      </c>
      <c r="C1050" t="s">
        <v>1350</v>
      </c>
      <c r="D1050" t="s">
        <v>18</v>
      </c>
      <c r="E1050" t="s">
        <v>21</v>
      </c>
      <c r="F1050" t="s">
        <v>40</v>
      </c>
      <c r="G1050">
        <v>1</v>
      </c>
      <c r="H1050" s="2">
        <v>53.72</v>
      </c>
      <c r="I1050" s="3">
        <v>0.15</v>
      </c>
      <c r="J1050" s="2">
        <v>45.66</v>
      </c>
      <c r="K1050" t="s">
        <v>56</v>
      </c>
    </row>
    <row r="1051" spans="1:11">
      <c r="A1051" t="s">
        <v>1609</v>
      </c>
      <c r="B1051" s="1">
        <v>45867</v>
      </c>
      <c r="C1051" t="s">
        <v>841</v>
      </c>
      <c r="D1051" t="s">
        <v>22</v>
      </c>
      <c r="E1051" t="s">
        <v>17</v>
      </c>
      <c r="F1051" t="s">
        <v>23</v>
      </c>
      <c r="G1051">
        <v>1</v>
      </c>
      <c r="H1051" s="2">
        <v>133.99</v>
      </c>
      <c r="I1051" s="3">
        <v>0</v>
      </c>
      <c r="J1051" s="2">
        <v>133.99</v>
      </c>
      <c r="K1051" t="s">
        <v>79</v>
      </c>
    </row>
    <row r="1052" spans="1:11">
      <c r="A1052" t="s">
        <v>1610</v>
      </c>
      <c r="B1052" s="1">
        <v>45848</v>
      </c>
      <c r="C1052" t="s">
        <v>800</v>
      </c>
      <c r="D1052" t="s">
        <v>22</v>
      </c>
      <c r="E1052" t="s">
        <v>33</v>
      </c>
      <c r="F1052" t="s">
        <v>34</v>
      </c>
      <c r="G1052">
        <v>4</v>
      </c>
      <c r="H1052" s="2">
        <v>27.55</v>
      </c>
      <c r="I1052" s="3">
        <v>0.1</v>
      </c>
      <c r="J1052" s="2">
        <v>99.18</v>
      </c>
      <c r="K1052" t="s">
        <v>79</v>
      </c>
    </row>
    <row r="1053" spans="1:11">
      <c r="A1053" t="s">
        <v>1611</v>
      </c>
      <c r="B1053" s="1">
        <v>45959</v>
      </c>
      <c r="C1053" t="s">
        <v>1612</v>
      </c>
      <c r="D1053" t="s">
        <v>22</v>
      </c>
      <c r="E1053" t="s">
        <v>25</v>
      </c>
      <c r="F1053" t="s">
        <v>38</v>
      </c>
      <c r="G1053">
        <v>1</v>
      </c>
      <c r="H1053" s="2">
        <v>136.27000000000001</v>
      </c>
      <c r="I1053" s="3">
        <v>0.05</v>
      </c>
      <c r="J1053" s="2">
        <v>129.46</v>
      </c>
      <c r="K1053" t="s">
        <v>56</v>
      </c>
    </row>
    <row r="1054" spans="1:11">
      <c r="A1054" t="s">
        <v>1613</v>
      </c>
      <c r="B1054" s="1">
        <v>45908</v>
      </c>
      <c r="C1054" t="s">
        <v>1570</v>
      </c>
      <c r="D1054" t="s">
        <v>30</v>
      </c>
      <c r="E1054" t="s">
        <v>17</v>
      </c>
      <c r="F1054" t="s">
        <v>19</v>
      </c>
      <c r="G1054">
        <v>1</v>
      </c>
      <c r="H1054" s="2">
        <v>76.239999999999995</v>
      </c>
      <c r="I1054" s="3">
        <v>0</v>
      </c>
      <c r="J1054" s="2">
        <v>76.239999999999995</v>
      </c>
      <c r="K1054" t="s">
        <v>56</v>
      </c>
    </row>
    <row r="1055" spans="1:11">
      <c r="A1055" t="s">
        <v>1614</v>
      </c>
      <c r="B1055" s="1">
        <v>45816</v>
      </c>
      <c r="C1055" t="s">
        <v>635</v>
      </c>
      <c r="D1055" t="s">
        <v>22</v>
      </c>
      <c r="E1055" t="s">
        <v>29</v>
      </c>
      <c r="F1055" t="s">
        <v>68</v>
      </c>
      <c r="G1055">
        <v>1</v>
      </c>
      <c r="H1055" s="2">
        <v>43.27</v>
      </c>
      <c r="I1055" s="3">
        <v>0.1</v>
      </c>
      <c r="J1055" s="2">
        <v>38.94</v>
      </c>
      <c r="K1055" t="s">
        <v>79</v>
      </c>
    </row>
    <row r="1056" spans="1:11">
      <c r="A1056" t="s">
        <v>1615</v>
      </c>
      <c r="B1056" s="1">
        <v>45916</v>
      </c>
      <c r="C1056" t="s">
        <v>1534</v>
      </c>
      <c r="D1056" t="s">
        <v>26</v>
      </c>
      <c r="E1056" t="s">
        <v>29</v>
      </c>
      <c r="F1056" t="s">
        <v>92</v>
      </c>
      <c r="G1056">
        <v>1</v>
      </c>
      <c r="H1056" s="2">
        <v>54.92</v>
      </c>
      <c r="I1056" s="3">
        <v>0.1</v>
      </c>
      <c r="J1056" s="2">
        <v>49.43</v>
      </c>
      <c r="K1056" t="s">
        <v>79</v>
      </c>
    </row>
    <row r="1057" spans="1:11">
      <c r="A1057" t="s">
        <v>1616</v>
      </c>
      <c r="B1057" s="1">
        <v>45977</v>
      </c>
      <c r="C1057" t="s">
        <v>401</v>
      </c>
      <c r="D1057" t="s">
        <v>18</v>
      </c>
      <c r="E1057" t="s">
        <v>29</v>
      </c>
      <c r="F1057" t="s">
        <v>92</v>
      </c>
      <c r="G1057">
        <v>2</v>
      </c>
      <c r="H1057" s="2">
        <v>53.78</v>
      </c>
      <c r="I1057" s="3">
        <v>0.1</v>
      </c>
      <c r="J1057" s="2">
        <v>96.8</v>
      </c>
      <c r="K1057" t="s">
        <v>56</v>
      </c>
    </row>
    <row r="1058" spans="1:11">
      <c r="A1058" t="s">
        <v>1617</v>
      </c>
      <c r="B1058" s="1">
        <v>45884</v>
      </c>
      <c r="C1058" t="s">
        <v>1618</v>
      </c>
      <c r="D1058" t="s">
        <v>26</v>
      </c>
      <c r="E1058" t="s">
        <v>25</v>
      </c>
      <c r="F1058" t="s">
        <v>78</v>
      </c>
      <c r="G1058">
        <v>1</v>
      </c>
      <c r="H1058" s="2">
        <v>34.29</v>
      </c>
      <c r="I1058" s="3">
        <v>0</v>
      </c>
      <c r="J1058" s="2">
        <v>34.29</v>
      </c>
      <c r="K1058" t="s">
        <v>56</v>
      </c>
    </row>
    <row r="1059" spans="1:11">
      <c r="A1059" t="s">
        <v>1619</v>
      </c>
      <c r="B1059" s="1">
        <v>45988</v>
      </c>
      <c r="C1059" t="s">
        <v>1620</v>
      </c>
      <c r="D1059" t="s">
        <v>18</v>
      </c>
      <c r="E1059" t="s">
        <v>17</v>
      </c>
      <c r="F1059" t="s">
        <v>23</v>
      </c>
      <c r="G1059">
        <v>2</v>
      </c>
      <c r="H1059" s="2">
        <v>113.27</v>
      </c>
      <c r="I1059" s="3">
        <v>0.15</v>
      </c>
      <c r="J1059" s="2">
        <v>192.56</v>
      </c>
      <c r="K1059" t="s">
        <v>56</v>
      </c>
    </row>
    <row r="1060" spans="1:11">
      <c r="A1060" t="s">
        <v>1621</v>
      </c>
      <c r="B1060" s="1">
        <v>45925</v>
      </c>
      <c r="C1060" t="s">
        <v>222</v>
      </c>
      <c r="D1060" t="s">
        <v>22</v>
      </c>
      <c r="E1060" t="s">
        <v>33</v>
      </c>
      <c r="F1060" t="s">
        <v>31</v>
      </c>
      <c r="G1060">
        <v>2</v>
      </c>
      <c r="H1060" s="2">
        <v>75.17</v>
      </c>
      <c r="I1060" s="3">
        <v>0</v>
      </c>
      <c r="J1060" s="2">
        <v>150.34</v>
      </c>
      <c r="K1060" t="s">
        <v>79</v>
      </c>
    </row>
    <row r="1061" spans="1:11">
      <c r="A1061" t="s">
        <v>1622</v>
      </c>
      <c r="B1061" s="1">
        <v>45798</v>
      </c>
      <c r="C1061" t="s">
        <v>1244</v>
      </c>
      <c r="D1061" t="s">
        <v>18</v>
      </c>
      <c r="E1061" t="s">
        <v>33</v>
      </c>
      <c r="F1061" t="s">
        <v>31</v>
      </c>
      <c r="G1061">
        <v>1</v>
      </c>
      <c r="H1061" s="2">
        <v>80.13</v>
      </c>
      <c r="I1061" s="3">
        <v>0.15</v>
      </c>
      <c r="J1061" s="2">
        <v>68.11</v>
      </c>
      <c r="K1061" t="s">
        <v>56</v>
      </c>
    </row>
    <row r="1062" spans="1:11">
      <c r="A1062" t="s">
        <v>1623</v>
      </c>
      <c r="B1062" s="1">
        <v>45968</v>
      </c>
      <c r="C1062" t="s">
        <v>1269</v>
      </c>
      <c r="D1062" t="s">
        <v>30</v>
      </c>
      <c r="E1062" t="s">
        <v>25</v>
      </c>
      <c r="F1062" t="s">
        <v>36</v>
      </c>
      <c r="G1062">
        <v>1</v>
      </c>
      <c r="H1062" s="2">
        <v>76.97</v>
      </c>
      <c r="I1062" s="3">
        <v>0</v>
      </c>
      <c r="J1062" s="2">
        <v>76.97</v>
      </c>
      <c r="K1062" t="s">
        <v>79</v>
      </c>
    </row>
    <row r="1063" spans="1:11">
      <c r="A1063" t="s">
        <v>1624</v>
      </c>
      <c r="B1063" s="1">
        <v>45870</v>
      </c>
      <c r="C1063" t="s">
        <v>344</v>
      </c>
      <c r="D1063" t="s">
        <v>18</v>
      </c>
      <c r="E1063" t="s">
        <v>17</v>
      </c>
      <c r="F1063" t="s">
        <v>19</v>
      </c>
      <c r="G1063">
        <v>3</v>
      </c>
      <c r="H1063" s="2">
        <v>75.42</v>
      </c>
      <c r="I1063" s="3">
        <v>0.05</v>
      </c>
      <c r="J1063" s="2">
        <v>214.95</v>
      </c>
      <c r="K1063" t="s">
        <v>79</v>
      </c>
    </row>
    <row r="1064" spans="1:11">
      <c r="A1064" t="s">
        <v>1625</v>
      </c>
      <c r="B1064" s="1">
        <v>45935</v>
      </c>
      <c r="C1064" t="s">
        <v>981</v>
      </c>
      <c r="D1064" t="s">
        <v>26</v>
      </c>
      <c r="E1064" t="s">
        <v>17</v>
      </c>
      <c r="F1064" t="s">
        <v>27</v>
      </c>
      <c r="G1064">
        <v>1</v>
      </c>
      <c r="H1064" s="2">
        <v>53.71</v>
      </c>
      <c r="I1064" s="3">
        <v>0</v>
      </c>
      <c r="J1064" s="2">
        <v>53.71</v>
      </c>
      <c r="K1064" t="s">
        <v>61</v>
      </c>
    </row>
    <row r="1065" spans="1:11">
      <c r="A1065" t="s">
        <v>1626</v>
      </c>
      <c r="B1065" s="1">
        <v>46005</v>
      </c>
      <c r="C1065" t="s">
        <v>1297</v>
      </c>
      <c r="D1065" t="s">
        <v>18</v>
      </c>
      <c r="E1065" t="s">
        <v>17</v>
      </c>
      <c r="F1065" t="s">
        <v>27</v>
      </c>
      <c r="G1065">
        <v>1</v>
      </c>
      <c r="H1065" s="2">
        <v>68.86</v>
      </c>
      <c r="I1065" s="3">
        <v>0</v>
      </c>
      <c r="J1065" s="2">
        <v>68.86</v>
      </c>
      <c r="K1065" t="s">
        <v>61</v>
      </c>
    </row>
    <row r="1066" spans="1:11">
      <c r="A1066" t="s">
        <v>1627</v>
      </c>
      <c r="B1066" s="1">
        <v>45857</v>
      </c>
      <c r="C1066" t="s">
        <v>849</v>
      </c>
      <c r="D1066" t="s">
        <v>30</v>
      </c>
      <c r="E1066" t="s">
        <v>17</v>
      </c>
      <c r="F1066" t="s">
        <v>23</v>
      </c>
      <c r="G1066">
        <v>1</v>
      </c>
      <c r="H1066" s="2">
        <v>127.22</v>
      </c>
      <c r="I1066" s="3">
        <v>0.05</v>
      </c>
      <c r="J1066" s="2">
        <v>120.86</v>
      </c>
      <c r="K1066" t="s">
        <v>79</v>
      </c>
    </row>
    <row r="1067" spans="1:11">
      <c r="A1067" t="s">
        <v>1628</v>
      </c>
      <c r="B1067" s="1">
        <v>45684</v>
      </c>
      <c r="C1067" t="s">
        <v>1463</v>
      </c>
      <c r="D1067" t="s">
        <v>30</v>
      </c>
      <c r="E1067" t="s">
        <v>33</v>
      </c>
      <c r="F1067" t="s">
        <v>31</v>
      </c>
      <c r="G1067">
        <v>1</v>
      </c>
      <c r="H1067" s="2">
        <v>77.48</v>
      </c>
      <c r="I1067" s="3">
        <v>0</v>
      </c>
      <c r="J1067" s="2">
        <v>77.48</v>
      </c>
      <c r="K1067" t="s">
        <v>79</v>
      </c>
    </row>
    <row r="1068" spans="1:11">
      <c r="A1068" t="s">
        <v>1629</v>
      </c>
      <c r="B1068" s="1">
        <v>45795</v>
      </c>
      <c r="C1068" t="s">
        <v>227</v>
      </c>
      <c r="D1068" t="s">
        <v>18</v>
      </c>
      <c r="E1068" t="s">
        <v>17</v>
      </c>
      <c r="F1068" t="s">
        <v>19</v>
      </c>
      <c r="G1068">
        <v>1</v>
      </c>
      <c r="H1068" s="2">
        <v>81.569999999999993</v>
      </c>
      <c r="I1068" s="3">
        <v>0</v>
      </c>
      <c r="J1068" s="2">
        <v>81.569999999999993</v>
      </c>
      <c r="K1068" t="s">
        <v>61</v>
      </c>
    </row>
    <row r="1069" spans="1:11">
      <c r="A1069" t="s">
        <v>1630</v>
      </c>
      <c r="B1069" s="1">
        <v>45982</v>
      </c>
      <c r="C1069" t="s">
        <v>1631</v>
      </c>
      <c r="D1069" t="s">
        <v>22</v>
      </c>
      <c r="E1069" t="s">
        <v>33</v>
      </c>
      <c r="F1069" t="s">
        <v>31</v>
      </c>
      <c r="G1069">
        <v>3</v>
      </c>
      <c r="H1069" s="2">
        <v>63.35</v>
      </c>
      <c r="I1069" s="3">
        <v>0.15</v>
      </c>
      <c r="J1069" s="2">
        <v>161.54</v>
      </c>
      <c r="K1069" t="s">
        <v>56</v>
      </c>
    </row>
    <row r="1070" spans="1:11">
      <c r="A1070" t="s">
        <v>1632</v>
      </c>
      <c r="B1070" s="1">
        <v>45991</v>
      </c>
      <c r="C1070" t="s">
        <v>96</v>
      </c>
      <c r="D1070" t="s">
        <v>22</v>
      </c>
      <c r="E1070" t="s">
        <v>17</v>
      </c>
      <c r="F1070" t="s">
        <v>27</v>
      </c>
      <c r="G1070">
        <v>1</v>
      </c>
      <c r="H1070" s="2">
        <v>58.07</v>
      </c>
      <c r="I1070" s="3">
        <v>0</v>
      </c>
      <c r="J1070" s="2">
        <v>58.07</v>
      </c>
      <c r="K1070" t="s">
        <v>79</v>
      </c>
    </row>
    <row r="1071" spans="1:11">
      <c r="A1071" t="s">
        <v>1633</v>
      </c>
      <c r="B1071" s="1">
        <v>45849</v>
      </c>
      <c r="C1071" t="s">
        <v>106</v>
      </c>
      <c r="D1071" t="s">
        <v>30</v>
      </c>
      <c r="E1071" t="s">
        <v>21</v>
      </c>
      <c r="F1071" t="s">
        <v>71</v>
      </c>
      <c r="G1071">
        <v>4</v>
      </c>
      <c r="H1071" s="2">
        <v>76.459999999999994</v>
      </c>
      <c r="I1071" s="3">
        <v>0.15</v>
      </c>
      <c r="J1071" s="2">
        <v>259.95999999999998</v>
      </c>
      <c r="K1071" t="s">
        <v>79</v>
      </c>
    </row>
    <row r="1072" spans="1:11">
      <c r="A1072" t="s">
        <v>1634</v>
      </c>
      <c r="B1072" s="1">
        <v>45658</v>
      </c>
      <c r="C1072" t="s">
        <v>1276</v>
      </c>
      <c r="D1072" t="s">
        <v>18</v>
      </c>
      <c r="E1072" t="s">
        <v>21</v>
      </c>
      <c r="F1072" t="s">
        <v>40</v>
      </c>
      <c r="G1072">
        <v>4</v>
      </c>
      <c r="H1072" s="2">
        <v>51.69</v>
      </c>
      <c r="I1072" s="3">
        <v>0</v>
      </c>
      <c r="J1072" s="2">
        <v>206.76</v>
      </c>
      <c r="K1072" t="s">
        <v>61</v>
      </c>
    </row>
    <row r="1073" spans="1:11">
      <c r="A1073" t="s">
        <v>1635</v>
      </c>
      <c r="B1073" s="1">
        <v>45797</v>
      </c>
      <c r="C1073" t="s">
        <v>1636</v>
      </c>
      <c r="D1073" t="s">
        <v>26</v>
      </c>
      <c r="E1073" t="s">
        <v>29</v>
      </c>
      <c r="F1073" t="s">
        <v>68</v>
      </c>
      <c r="G1073">
        <v>1</v>
      </c>
      <c r="H1073" s="2">
        <v>48.35</v>
      </c>
      <c r="I1073" s="3">
        <v>0.05</v>
      </c>
      <c r="J1073" s="2">
        <v>45.93</v>
      </c>
      <c r="K1073" t="s">
        <v>79</v>
      </c>
    </row>
    <row r="1074" spans="1:11">
      <c r="A1074" t="s">
        <v>1637</v>
      </c>
      <c r="B1074" s="1">
        <v>45740</v>
      </c>
      <c r="C1074" t="s">
        <v>789</v>
      </c>
      <c r="D1074" t="s">
        <v>18</v>
      </c>
      <c r="E1074" t="s">
        <v>25</v>
      </c>
      <c r="F1074" t="s">
        <v>78</v>
      </c>
      <c r="G1074">
        <v>1</v>
      </c>
      <c r="H1074" s="2">
        <v>34.049999999999997</v>
      </c>
      <c r="I1074" s="3">
        <v>0</v>
      </c>
      <c r="J1074" s="2">
        <v>34.049999999999997</v>
      </c>
      <c r="K1074" t="s">
        <v>79</v>
      </c>
    </row>
    <row r="1075" spans="1:11">
      <c r="A1075" t="s">
        <v>1638</v>
      </c>
      <c r="B1075" s="1">
        <v>45942</v>
      </c>
      <c r="C1075" t="s">
        <v>1192</v>
      </c>
      <c r="D1075" t="s">
        <v>26</v>
      </c>
      <c r="E1075" t="s">
        <v>33</v>
      </c>
      <c r="F1075" t="s">
        <v>34</v>
      </c>
      <c r="G1075">
        <v>3</v>
      </c>
      <c r="H1075" s="2">
        <v>26.67</v>
      </c>
      <c r="I1075" s="3">
        <v>0.15</v>
      </c>
      <c r="J1075" s="2">
        <v>68.010000000000005</v>
      </c>
      <c r="K1075" t="s">
        <v>56</v>
      </c>
    </row>
    <row r="1076" spans="1:11">
      <c r="A1076" t="s">
        <v>1639</v>
      </c>
      <c r="B1076" s="1">
        <v>45791</v>
      </c>
      <c r="C1076" t="s">
        <v>1640</v>
      </c>
      <c r="D1076" t="s">
        <v>22</v>
      </c>
      <c r="E1076" t="s">
        <v>25</v>
      </c>
      <c r="F1076" t="s">
        <v>78</v>
      </c>
      <c r="G1076">
        <v>1</v>
      </c>
      <c r="H1076" s="2">
        <v>36.32</v>
      </c>
      <c r="I1076" s="3">
        <v>0.05</v>
      </c>
      <c r="J1076" s="2">
        <v>34.5</v>
      </c>
      <c r="K1076" t="s">
        <v>61</v>
      </c>
    </row>
    <row r="1077" spans="1:11">
      <c r="A1077" t="s">
        <v>1641</v>
      </c>
      <c r="B1077" s="1">
        <v>45964</v>
      </c>
      <c r="C1077" t="s">
        <v>632</v>
      </c>
      <c r="D1077" t="s">
        <v>18</v>
      </c>
      <c r="E1077" t="s">
        <v>25</v>
      </c>
      <c r="F1077" t="s">
        <v>36</v>
      </c>
      <c r="G1077">
        <v>1</v>
      </c>
      <c r="H1077" s="2">
        <v>95.97</v>
      </c>
      <c r="I1077" s="3">
        <v>0</v>
      </c>
      <c r="J1077" s="2">
        <v>95.97</v>
      </c>
      <c r="K1077" t="s">
        <v>79</v>
      </c>
    </row>
    <row r="1078" spans="1:11">
      <c r="A1078" t="s">
        <v>1642</v>
      </c>
      <c r="B1078" s="1">
        <v>46002</v>
      </c>
      <c r="C1078" t="s">
        <v>1643</v>
      </c>
      <c r="D1078" t="s">
        <v>18</v>
      </c>
      <c r="E1078" t="s">
        <v>17</v>
      </c>
      <c r="F1078" t="s">
        <v>27</v>
      </c>
      <c r="G1078">
        <v>1</v>
      </c>
      <c r="H1078" s="2">
        <v>67.58</v>
      </c>
      <c r="I1078" s="3">
        <v>0.1</v>
      </c>
      <c r="J1078" s="2">
        <v>60.82</v>
      </c>
      <c r="K1078" t="s">
        <v>56</v>
      </c>
    </row>
    <row r="1079" spans="1:11">
      <c r="A1079" t="s">
        <v>1644</v>
      </c>
      <c r="B1079" s="1">
        <v>45991</v>
      </c>
      <c r="C1079" t="s">
        <v>866</v>
      </c>
      <c r="D1079" t="s">
        <v>26</v>
      </c>
      <c r="E1079" t="s">
        <v>17</v>
      </c>
      <c r="F1079" t="s">
        <v>23</v>
      </c>
      <c r="G1079">
        <v>1</v>
      </c>
      <c r="H1079" s="2">
        <v>147.65</v>
      </c>
      <c r="I1079" s="3">
        <v>0.1</v>
      </c>
      <c r="J1079" s="2">
        <v>132.88999999999999</v>
      </c>
      <c r="K1079" t="s">
        <v>61</v>
      </c>
    </row>
    <row r="1080" spans="1:11">
      <c r="A1080" t="s">
        <v>1645</v>
      </c>
      <c r="B1080" s="1">
        <v>45965</v>
      </c>
      <c r="C1080" t="s">
        <v>1421</v>
      </c>
      <c r="D1080" t="s">
        <v>30</v>
      </c>
      <c r="E1080" t="s">
        <v>25</v>
      </c>
      <c r="F1080" t="s">
        <v>36</v>
      </c>
      <c r="G1080">
        <v>1</v>
      </c>
      <c r="H1080" s="2">
        <v>100.3</v>
      </c>
      <c r="I1080" s="3">
        <v>0</v>
      </c>
      <c r="J1080" s="2">
        <v>100.3</v>
      </c>
      <c r="K1080" t="s">
        <v>61</v>
      </c>
    </row>
    <row r="1081" spans="1:11">
      <c r="A1081" t="s">
        <v>1646</v>
      </c>
      <c r="B1081" s="1">
        <v>45756</v>
      </c>
      <c r="C1081" t="s">
        <v>968</v>
      </c>
      <c r="D1081" t="s">
        <v>22</v>
      </c>
      <c r="E1081" t="s">
        <v>21</v>
      </c>
      <c r="F1081" t="s">
        <v>40</v>
      </c>
      <c r="G1081">
        <v>1</v>
      </c>
      <c r="H1081" s="2">
        <v>53.67</v>
      </c>
      <c r="I1081" s="3">
        <v>0.05</v>
      </c>
      <c r="J1081" s="2">
        <v>50.99</v>
      </c>
      <c r="K1081" t="s">
        <v>79</v>
      </c>
    </row>
    <row r="1082" spans="1:11">
      <c r="A1082" t="s">
        <v>1647</v>
      </c>
      <c r="B1082" s="1">
        <v>45972</v>
      </c>
      <c r="C1082" t="s">
        <v>492</v>
      </c>
      <c r="D1082" t="s">
        <v>26</v>
      </c>
      <c r="E1082" t="s">
        <v>29</v>
      </c>
      <c r="F1082" t="s">
        <v>92</v>
      </c>
      <c r="G1082">
        <v>1</v>
      </c>
      <c r="H1082" s="2">
        <v>59.78</v>
      </c>
      <c r="I1082" s="3">
        <v>0</v>
      </c>
      <c r="J1082" s="2">
        <v>59.78</v>
      </c>
      <c r="K1082" t="s">
        <v>79</v>
      </c>
    </row>
    <row r="1083" spans="1:11">
      <c r="A1083" t="s">
        <v>1648</v>
      </c>
      <c r="B1083" s="1">
        <v>45801</v>
      </c>
      <c r="C1083" t="s">
        <v>1649</v>
      </c>
      <c r="D1083" t="s">
        <v>22</v>
      </c>
      <c r="E1083" t="s">
        <v>21</v>
      </c>
      <c r="F1083" t="s">
        <v>40</v>
      </c>
      <c r="G1083">
        <v>3</v>
      </c>
      <c r="H1083" s="2">
        <v>53.08</v>
      </c>
      <c r="I1083" s="3">
        <v>0</v>
      </c>
      <c r="J1083" s="2">
        <v>159.24</v>
      </c>
      <c r="K1083" t="s">
        <v>56</v>
      </c>
    </row>
    <row r="1084" spans="1:11">
      <c r="A1084" t="s">
        <v>1650</v>
      </c>
      <c r="B1084" s="1">
        <v>45860</v>
      </c>
      <c r="C1084" t="s">
        <v>536</v>
      </c>
      <c r="D1084" t="s">
        <v>22</v>
      </c>
      <c r="E1084" t="s">
        <v>17</v>
      </c>
      <c r="F1084" t="s">
        <v>23</v>
      </c>
      <c r="G1084">
        <v>3</v>
      </c>
      <c r="H1084" s="2">
        <v>133.88</v>
      </c>
      <c r="I1084" s="3">
        <v>0.1</v>
      </c>
      <c r="J1084" s="2">
        <v>361.48</v>
      </c>
      <c r="K1084" t="s">
        <v>56</v>
      </c>
    </row>
    <row r="1085" spans="1:11">
      <c r="A1085" t="s">
        <v>1651</v>
      </c>
      <c r="B1085" s="1">
        <v>45947</v>
      </c>
      <c r="C1085" t="s">
        <v>1438</v>
      </c>
      <c r="D1085" t="s">
        <v>18</v>
      </c>
      <c r="E1085" t="s">
        <v>29</v>
      </c>
      <c r="F1085" t="s">
        <v>92</v>
      </c>
      <c r="G1085">
        <v>2</v>
      </c>
      <c r="H1085" s="2">
        <v>57.01</v>
      </c>
      <c r="I1085" s="3">
        <v>0</v>
      </c>
      <c r="J1085" s="2">
        <v>114.02</v>
      </c>
      <c r="K1085" t="s">
        <v>79</v>
      </c>
    </row>
    <row r="1086" spans="1:11">
      <c r="A1086" t="s">
        <v>1652</v>
      </c>
      <c r="B1086" s="1">
        <v>45790</v>
      </c>
      <c r="C1086" t="s">
        <v>243</v>
      </c>
      <c r="D1086" t="s">
        <v>18</v>
      </c>
      <c r="E1086" t="s">
        <v>29</v>
      </c>
      <c r="F1086" t="s">
        <v>68</v>
      </c>
      <c r="G1086">
        <v>3</v>
      </c>
      <c r="H1086" s="2">
        <v>51.33</v>
      </c>
      <c r="I1086" s="3">
        <v>0.05</v>
      </c>
      <c r="J1086" s="2">
        <v>146.29</v>
      </c>
      <c r="K1086" t="s">
        <v>56</v>
      </c>
    </row>
    <row r="1087" spans="1:11">
      <c r="A1087" t="s">
        <v>1653</v>
      </c>
      <c r="B1087" s="1">
        <v>46005</v>
      </c>
      <c r="C1087" t="s">
        <v>292</v>
      </c>
      <c r="D1087" t="s">
        <v>30</v>
      </c>
      <c r="E1087" t="s">
        <v>21</v>
      </c>
      <c r="F1087" t="s">
        <v>71</v>
      </c>
      <c r="G1087">
        <v>2</v>
      </c>
      <c r="H1087" s="2">
        <v>74.150000000000006</v>
      </c>
      <c r="I1087" s="3">
        <v>0.1</v>
      </c>
      <c r="J1087" s="2">
        <v>133.47</v>
      </c>
      <c r="K1087" t="s">
        <v>56</v>
      </c>
    </row>
    <row r="1088" spans="1:11">
      <c r="A1088" t="s">
        <v>1654</v>
      </c>
      <c r="B1088" s="1">
        <v>46002</v>
      </c>
      <c r="C1088" t="s">
        <v>156</v>
      </c>
      <c r="D1088" t="s">
        <v>26</v>
      </c>
      <c r="E1088" t="s">
        <v>29</v>
      </c>
      <c r="F1088" t="s">
        <v>92</v>
      </c>
      <c r="G1088">
        <v>1</v>
      </c>
      <c r="H1088" s="2">
        <v>63.79</v>
      </c>
      <c r="I1088" s="3">
        <v>0.1</v>
      </c>
      <c r="J1088" s="2">
        <v>57.41</v>
      </c>
      <c r="K1088" t="s">
        <v>79</v>
      </c>
    </row>
    <row r="1089" spans="1:11">
      <c r="A1089" t="s">
        <v>1655</v>
      </c>
      <c r="B1089" s="1">
        <v>46006</v>
      </c>
      <c r="C1089" t="s">
        <v>213</v>
      </c>
      <c r="D1089" t="s">
        <v>18</v>
      </c>
      <c r="E1089" t="s">
        <v>21</v>
      </c>
      <c r="F1089" t="s">
        <v>71</v>
      </c>
      <c r="G1089">
        <v>1</v>
      </c>
      <c r="H1089" s="2">
        <v>66.88</v>
      </c>
      <c r="I1089" s="3">
        <v>0</v>
      </c>
      <c r="J1089" s="2">
        <v>66.88</v>
      </c>
      <c r="K1089" t="s">
        <v>61</v>
      </c>
    </row>
    <row r="1090" spans="1:11">
      <c r="A1090" t="s">
        <v>1656</v>
      </c>
      <c r="B1090" s="1">
        <v>45873</v>
      </c>
      <c r="C1090" t="s">
        <v>1077</v>
      </c>
      <c r="D1090" t="s">
        <v>18</v>
      </c>
      <c r="E1090" t="s">
        <v>21</v>
      </c>
      <c r="F1090" t="s">
        <v>71</v>
      </c>
      <c r="G1090">
        <v>1</v>
      </c>
      <c r="H1090" s="2">
        <v>58.77</v>
      </c>
      <c r="I1090" s="3">
        <v>0</v>
      </c>
      <c r="J1090" s="2">
        <v>58.77</v>
      </c>
      <c r="K1090" t="s">
        <v>56</v>
      </c>
    </row>
    <row r="1091" spans="1:11">
      <c r="A1091" t="s">
        <v>1657</v>
      </c>
      <c r="B1091" s="1">
        <v>45670</v>
      </c>
      <c r="C1091" t="s">
        <v>1511</v>
      </c>
      <c r="D1091" t="s">
        <v>22</v>
      </c>
      <c r="E1091" t="s">
        <v>25</v>
      </c>
      <c r="F1091" t="s">
        <v>78</v>
      </c>
      <c r="G1091">
        <v>1</v>
      </c>
      <c r="H1091" s="2">
        <v>42.02</v>
      </c>
      <c r="I1091" s="3">
        <v>0</v>
      </c>
      <c r="J1091" s="2">
        <v>42.02</v>
      </c>
      <c r="K1091" t="s">
        <v>79</v>
      </c>
    </row>
    <row r="1092" spans="1:11">
      <c r="A1092" t="s">
        <v>1658</v>
      </c>
      <c r="B1092" s="1">
        <v>45826</v>
      </c>
      <c r="C1092" t="s">
        <v>794</v>
      </c>
      <c r="D1092" t="s">
        <v>30</v>
      </c>
      <c r="E1092" t="s">
        <v>33</v>
      </c>
      <c r="F1092" t="s">
        <v>34</v>
      </c>
      <c r="G1092">
        <v>1</v>
      </c>
      <c r="H1092" s="2">
        <v>30.63</v>
      </c>
      <c r="I1092" s="3">
        <v>0</v>
      </c>
      <c r="J1092" s="2">
        <v>30.63</v>
      </c>
      <c r="K1092" t="s">
        <v>79</v>
      </c>
    </row>
    <row r="1093" spans="1:11">
      <c r="A1093" t="s">
        <v>1659</v>
      </c>
      <c r="B1093" s="1">
        <v>45961</v>
      </c>
      <c r="C1093" t="s">
        <v>1554</v>
      </c>
      <c r="D1093" t="s">
        <v>30</v>
      </c>
      <c r="E1093" t="s">
        <v>29</v>
      </c>
      <c r="F1093" t="s">
        <v>92</v>
      </c>
      <c r="G1093">
        <v>3</v>
      </c>
      <c r="H1093" s="2">
        <v>62.01</v>
      </c>
      <c r="I1093" s="3">
        <v>0</v>
      </c>
      <c r="J1093" s="2">
        <v>186.03</v>
      </c>
      <c r="K1093" t="s">
        <v>79</v>
      </c>
    </row>
    <row r="1094" spans="1:11">
      <c r="A1094" t="s">
        <v>1660</v>
      </c>
      <c r="B1094" s="1">
        <v>45832</v>
      </c>
      <c r="C1094" t="s">
        <v>184</v>
      </c>
      <c r="D1094" t="s">
        <v>30</v>
      </c>
      <c r="E1094" t="s">
        <v>17</v>
      </c>
      <c r="F1094" t="s">
        <v>19</v>
      </c>
      <c r="G1094">
        <v>2</v>
      </c>
      <c r="H1094" s="2">
        <v>80.7</v>
      </c>
      <c r="I1094" s="3">
        <v>0</v>
      </c>
      <c r="J1094" s="2">
        <v>161.4</v>
      </c>
      <c r="K1094" t="s">
        <v>79</v>
      </c>
    </row>
    <row r="1095" spans="1:11">
      <c r="A1095" t="s">
        <v>1661</v>
      </c>
      <c r="B1095" s="1">
        <v>45978</v>
      </c>
      <c r="C1095" t="s">
        <v>1375</v>
      </c>
      <c r="D1095" t="s">
        <v>30</v>
      </c>
      <c r="E1095" t="s">
        <v>21</v>
      </c>
      <c r="F1095" t="s">
        <v>40</v>
      </c>
      <c r="G1095">
        <v>2</v>
      </c>
      <c r="H1095" s="2">
        <v>43.03</v>
      </c>
      <c r="I1095" s="3">
        <v>0</v>
      </c>
      <c r="J1095" s="2">
        <v>86.06</v>
      </c>
      <c r="K1095" t="s">
        <v>61</v>
      </c>
    </row>
    <row r="1096" spans="1:11">
      <c r="A1096" t="s">
        <v>1662</v>
      </c>
      <c r="B1096" s="1">
        <v>46013</v>
      </c>
      <c r="C1096" t="s">
        <v>1663</v>
      </c>
      <c r="D1096" t="s">
        <v>26</v>
      </c>
      <c r="E1096" t="s">
        <v>17</v>
      </c>
      <c r="F1096" t="s">
        <v>23</v>
      </c>
      <c r="G1096">
        <v>2</v>
      </c>
      <c r="H1096" s="2">
        <v>112.29</v>
      </c>
      <c r="I1096" s="3">
        <v>0.1</v>
      </c>
      <c r="J1096" s="2">
        <v>202.12</v>
      </c>
      <c r="K1096" t="s">
        <v>56</v>
      </c>
    </row>
    <row r="1097" spans="1:11">
      <c r="A1097" t="s">
        <v>1664</v>
      </c>
      <c r="B1097" s="1">
        <v>45978</v>
      </c>
      <c r="C1097" t="s">
        <v>553</v>
      </c>
      <c r="D1097" t="s">
        <v>26</v>
      </c>
      <c r="E1097" t="s">
        <v>25</v>
      </c>
      <c r="F1097" t="s">
        <v>38</v>
      </c>
      <c r="G1097">
        <v>1</v>
      </c>
      <c r="H1097" s="2">
        <v>127.76</v>
      </c>
      <c r="I1097" s="3">
        <v>0.15</v>
      </c>
      <c r="J1097" s="2">
        <v>108.6</v>
      </c>
      <c r="K1097" t="s">
        <v>61</v>
      </c>
    </row>
    <row r="1098" spans="1:11">
      <c r="A1098" t="s">
        <v>1665</v>
      </c>
      <c r="B1098" s="1">
        <v>45863</v>
      </c>
      <c r="C1098" t="s">
        <v>1095</v>
      </c>
      <c r="D1098" t="s">
        <v>30</v>
      </c>
      <c r="E1098" t="s">
        <v>17</v>
      </c>
      <c r="F1098" t="s">
        <v>23</v>
      </c>
      <c r="G1098">
        <v>2</v>
      </c>
      <c r="H1098" s="2">
        <v>127.15</v>
      </c>
      <c r="I1098" s="3">
        <v>0.15</v>
      </c>
      <c r="J1098" s="2">
        <v>216.16</v>
      </c>
      <c r="K1098" t="s">
        <v>61</v>
      </c>
    </row>
    <row r="1099" spans="1:11">
      <c r="A1099" t="s">
        <v>1666</v>
      </c>
      <c r="B1099" s="1">
        <v>45895</v>
      </c>
      <c r="C1099" t="s">
        <v>1667</v>
      </c>
      <c r="D1099" t="s">
        <v>30</v>
      </c>
      <c r="E1099" t="s">
        <v>25</v>
      </c>
      <c r="F1099" t="s">
        <v>38</v>
      </c>
      <c r="G1099">
        <v>3</v>
      </c>
      <c r="H1099" s="2">
        <v>125.47</v>
      </c>
      <c r="I1099" s="3">
        <v>0.05</v>
      </c>
      <c r="J1099" s="2">
        <v>357.59</v>
      </c>
      <c r="K1099" t="s">
        <v>56</v>
      </c>
    </row>
    <row r="1100" spans="1:11">
      <c r="A1100" t="s">
        <v>1668</v>
      </c>
      <c r="B1100" s="1">
        <v>45826</v>
      </c>
      <c r="C1100" t="s">
        <v>622</v>
      </c>
      <c r="D1100" t="s">
        <v>22</v>
      </c>
      <c r="E1100" t="s">
        <v>29</v>
      </c>
      <c r="F1100" t="s">
        <v>68</v>
      </c>
      <c r="G1100">
        <v>1</v>
      </c>
      <c r="H1100" s="2">
        <v>39.770000000000003</v>
      </c>
      <c r="I1100" s="3">
        <v>0.15</v>
      </c>
      <c r="J1100" s="2">
        <v>33.799999999999997</v>
      </c>
      <c r="K1100" t="s">
        <v>56</v>
      </c>
    </row>
    <row r="1101" spans="1:11">
      <c r="A1101" t="s">
        <v>1669</v>
      </c>
      <c r="B1101" s="1">
        <v>45722</v>
      </c>
      <c r="C1101" t="s">
        <v>1670</v>
      </c>
      <c r="D1101" t="s">
        <v>22</v>
      </c>
      <c r="E1101" t="s">
        <v>29</v>
      </c>
      <c r="F1101" t="s">
        <v>92</v>
      </c>
      <c r="G1101">
        <v>1</v>
      </c>
      <c r="H1101" s="2">
        <v>53.2</v>
      </c>
      <c r="I1101" s="3">
        <v>0.1</v>
      </c>
      <c r="J1101" s="2">
        <v>47.88</v>
      </c>
      <c r="K1101" t="s">
        <v>79</v>
      </c>
    </row>
    <row r="1102" spans="1:11">
      <c r="A1102" t="s">
        <v>1671</v>
      </c>
      <c r="B1102" s="1">
        <v>45728</v>
      </c>
      <c r="C1102" t="s">
        <v>780</v>
      </c>
      <c r="D1102" t="s">
        <v>26</v>
      </c>
      <c r="E1102" t="s">
        <v>17</v>
      </c>
      <c r="F1102" t="s">
        <v>19</v>
      </c>
      <c r="G1102">
        <v>1</v>
      </c>
      <c r="H1102" s="2">
        <v>75.28</v>
      </c>
      <c r="I1102" s="3">
        <v>0.1</v>
      </c>
      <c r="J1102" s="2">
        <v>67.75</v>
      </c>
      <c r="K1102" t="s">
        <v>61</v>
      </c>
    </row>
    <row r="1103" spans="1:11">
      <c r="A1103" t="s">
        <v>1672</v>
      </c>
      <c r="B1103" s="1">
        <v>45956</v>
      </c>
      <c r="C1103" t="s">
        <v>1171</v>
      </c>
      <c r="D1103" t="s">
        <v>26</v>
      </c>
      <c r="E1103" t="s">
        <v>21</v>
      </c>
      <c r="F1103" t="s">
        <v>71</v>
      </c>
      <c r="G1103">
        <v>2</v>
      </c>
      <c r="H1103" s="2">
        <v>62.01</v>
      </c>
      <c r="I1103" s="3">
        <v>0.05</v>
      </c>
      <c r="J1103" s="2">
        <v>117.82</v>
      </c>
      <c r="K1103" t="s">
        <v>61</v>
      </c>
    </row>
    <row r="1104" spans="1:11">
      <c r="A1104" t="s">
        <v>1673</v>
      </c>
      <c r="B1104" s="1">
        <v>45662</v>
      </c>
      <c r="C1104" t="s">
        <v>352</v>
      </c>
      <c r="D1104" t="s">
        <v>18</v>
      </c>
      <c r="E1104" t="s">
        <v>21</v>
      </c>
      <c r="F1104" t="s">
        <v>71</v>
      </c>
      <c r="G1104">
        <v>2</v>
      </c>
      <c r="H1104" s="2">
        <v>74.09</v>
      </c>
      <c r="I1104" s="3">
        <v>0</v>
      </c>
      <c r="J1104" s="2">
        <v>148.18</v>
      </c>
      <c r="K1104" t="s">
        <v>61</v>
      </c>
    </row>
    <row r="1105" spans="1:11">
      <c r="A1105" t="s">
        <v>1674</v>
      </c>
      <c r="B1105" s="1">
        <v>45834</v>
      </c>
      <c r="C1105" t="s">
        <v>583</v>
      </c>
      <c r="D1105" t="s">
        <v>26</v>
      </c>
      <c r="E1105" t="s">
        <v>33</v>
      </c>
      <c r="F1105" t="s">
        <v>31</v>
      </c>
      <c r="G1105">
        <v>4</v>
      </c>
      <c r="H1105" s="2">
        <v>78.540000000000006</v>
      </c>
      <c r="I1105" s="3">
        <v>0</v>
      </c>
      <c r="J1105" s="2">
        <v>314.16000000000003</v>
      </c>
      <c r="K1105" t="s">
        <v>79</v>
      </c>
    </row>
    <row r="1106" spans="1:11">
      <c r="A1106" t="s">
        <v>1675</v>
      </c>
      <c r="B1106" s="1">
        <v>45999</v>
      </c>
      <c r="C1106" t="s">
        <v>467</v>
      </c>
      <c r="D1106" t="s">
        <v>26</v>
      </c>
      <c r="E1106" t="s">
        <v>21</v>
      </c>
      <c r="F1106" t="s">
        <v>40</v>
      </c>
      <c r="G1106">
        <v>2</v>
      </c>
      <c r="H1106" s="2">
        <v>57.53</v>
      </c>
      <c r="I1106" s="3">
        <v>0.15</v>
      </c>
      <c r="J1106" s="2">
        <v>97.8</v>
      </c>
      <c r="K1106" t="s">
        <v>56</v>
      </c>
    </row>
    <row r="1107" spans="1:11">
      <c r="A1107" t="s">
        <v>1676</v>
      </c>
      <c r="B1107" s="1">
        <v>45811</v>
      </c>
      <c r="C1107" t="s">
        <v>1677</v>
      </c>
      <c r="D1107" t="s">
        <v>22</v>
      </c>
      <c r="E1107" t="s">
        <v>25</v>
      </c>
      <c r="F1107" t="s">
        <v>38</v>
      </c>
      <c r="G1107">
        <v>1</v>
      </c>
      <c r="H1107" s="2">
        <v>105.27</v>
      </c>
      <c r="I1107" s="3">
        <v>0</v>
      </c>
      <c r="J1107" s="2">
        <v>105.27</v>
      </c>
      <c r="K1107" t="s">
        <v>79</v>
      </c>
    </row>
    <row r="1108" spans="1:11">
      <c r="A1108" t="s">
        <v>1678</v>
      </c>
      <c r="B1108" s="1">
        <v>45985</v>
      </c>
      <c r="C1108" t="s">
        <v>1337</v>
      </c>
      <c r="D1108" t="s">
        <v>30</v>
      </c>
      <c r="E1108" t="s">
        <v>33</v>
      </c>
      <c r="F1108" t="s">
        <v>31</v>
      </c>
      <c r="G1108">
        <v>2</v>
      </c>
      <c r="H1108" s="2">
        <v>74.290000000000006</v>
      </c>
      <c r="I1108" s="3">
        <v>0</v>
      </c>
      <c r="J1108" s="2">
        <v>148.58000000000001</v>
      </c>
      <c r="K1108" t="s">
        <v>56</v>
      </c>
    </row>
    <row r="1109" spans="1:11">
      <c r="A1109" t="s">
        <v>1679</v>
      </c>
      <c r="B1109" s="1">
        <v>45827</v>
      </c>
      <c r="C1109" t="s">
        <v>1500</v>
      </c>
      <c r="D1109" t="s">
        <v>18</v>
      </c>
      <c r="E1109" t="s">
        <v>25</v>
      </c>
      <c r="F1109" t="s">
        <v>78</v>
      </c>
      <c r="G1109">
        <v>1</v>
      </c>
      <c r="H1109" s="2">
        <v>38.299999999999997</v>
      </c>
      <c r="I1109" s="3">
        <v>0</v>
      </c>
      <c r="J1109" s="2">
        <v>38.299999999999997</v>
      </c>
      <c r="K1109" t="s">
        <v>79</v>
      </c>
    </row>
    <row r="1110" spans="1:11">
      <c r="A1110" t="s">
        <v>1680</v>
      </c>
      <c r="B1110" s="1">
        <v>45841</v>
      </c>
      <c r="C1110" t="s">
        <v>1313</v>
      </c>
      <c r="D1110" t="s">
        <v>26</v>
      </c>
      <c r="E1110" t="s">
        <v>17</v>
      </c>
      <c r="F1110" t="s">
        <v>19</v>
      </c>
      <c r="G1110">
        <v>2</v>
      </c>
      <c r="H1110" s="2">
        <v>70.86</v>
      </c>
      <c r="I1110" s="3">
        <v>0.1</v>
      </c>
      <c r="J1110" s="2">
        <v>127.55</v>
      </c>
      <c r="K1110" t="s">
        <v>79</v>
      </c>
    </row>
    <row r="1111" spans="1:11">
      <c r="A1111" t="s">
        <v>1681</v>
      </c>
      <c r="B1111" s="1">
        <v>45673</v>
      </c>
      <c r="C1111" t="s">
        <v>490</v>
      </c>
      <c r="D1111" t="s">
        <v>26</v>
      </c>
      <c r="E1111" t="s">
        <v>33</v>
      </c>
      <c r="F1111" t="s">
        <v>31</v>
      </c>
      <c r="G1111">
        <v>1</v>
      </c>
      <c r="H1111" s="2">
        <v>67.150000000000006</v>
      </c>
      <c r="I1111" s="3">
        <v>0.05</v>
      </c>
      <c r="J1111" s="2">
        <v>63.79</v>
      </c>
      <c r="K1111" t="s">
        <v>56</v>
      </c>
    </row>
    <row r="1112" spans="1:11">
      <c r="A1112" t="s">
        <v>1682</v>
      </c>
      <c r="B1112" s="1">
        <v>45783</v>
      </c>
      <c r="C1112" t="s">
        <v>1631</v>
      </c>
      <c r="D1112" t="s">
        <v>18</v>
      </c>
      <c r="E1112" t="s">
        <v>17</v>
      </c>
      <c r="F1112" t="s">
        <v>27</v>
      </c>
      <c r="G1112">
        <v>1</v>
      </c>
      <c r="H1112" s="2">
        <v>53.58</v>
      </c>
      <c r="I1112" s="3">
        <v>0.05</v>
      </c>
      <c r="J1112" s="2">
        <v>50.9</v>
      </c>
      <c r="K1112" t="s">
        <v>56</v>
      </c>
    </row>
    <row r="1113" spans="1:11">
      <c r="A1113" t="s">
        <v>1683</v>
      </c>
      <c r="B1113" s="1">
        <v>45728</v>
      </c>
      <c r="C1113" t="s">
        <v>507</v>
      </c>
      <c r="D1113" t="s">
        <v>26</v>
      </c>
      <c r="E1113" t="s">
        <v>25</v>
      </c>
      <c r="F1113" t="s">
        <v>38</v>
      </c>
      <c r="G1113">
        <v>2</v>
      </c>
      <c r="H1113" s="2">
        <v>135.9</v>
      </c>
      <c r="I1113" s="3">
        <v>0.05</v>
      </c>
      <c r="J1113" s="2">
        <v>258.20999999999998</v>
      </c>
      <c r="K1113" t="s">
        <v>61</v>
      </c>
    </row>
    <row r="1114" spans="1:11">
      <c r="A1114" t="s">
        <v>1684</v>
      </c>
      <c r="B1114" s="1">
        <v>45780</v>
      </c>
      <c r="C1114" t="s">
        <v>307</v>
      </c>
      <c r="D1114" t="s">
        <v>18</v>
      </c>
      <c r="E1114" t="s">
        <v>25</v>
      </c>
      <c r="F1114" t="s">
        <v>36</v>
      </c>
      <c r="G1114">
        <v>2</v>
      </c>
      <c r="H1114" s="2">
        <v>95.06</v>
      </c>
      <c r="I1114" s="3">
        <v>0.15</v>
      </c>
      <c r="J1114" s="2">
        <v>161.6</v>
      </c>
      <c r="K1114" t="s">
        <v>79</v>
      </c>
    </row>
    <row r="1115" spans="1:11">
      <c r="A1115" t="s">
        <v>1685</v>
      </c>
      <c r="B1115" s="1">
        <v>45731</v>
      </c>
      <c r="C1115" t="s">
        <v>585</v>
      </c>
      <c r="D1115" t="s">
        <v>26</v>
      </c>
      <c r="E1115" t="s">
        <v>17</v>
      </c>
      <c r="F1115" t="s">
        <v>27</v>
      </c>
      <c r="G1115">
        <v>2</v>
      </c>
      <c r="H1115" s="2">
        <v>53.88</v>
      </c>
      <c r="I1115" s="3">
        <v>0.1</v>
      </c>
      <c r="J1115" s="2">
        <v>96.98</v>
      </c>
      <c r="K1115" t="s">
        <v>56</v>
      </c>
    </row>
    <row r="1116" spans="1:11">
      <c r="A1116" t="s">
        <v>1686</v>
      </c>
      <c r="B1116" s="1">
        <v>45877</v>
      </c>
      <c r="C1116" t="s">
        <v>296</v>
      </c>
      <c r="D1116" t="s">
        <v>26</v>
      </c>
      <c r="E1116" t="s">
        <v>29</v>
      </c>
      <c r="F1116" t="s">
        <v>92</v>
      </c>
      <c r="G1116">
        <v>1</v>
      </c>
      <c r="H1116" s="2">
        <v>47.59</v>
      </c>
      <c r="I1116" s="3">
        <v>0.15</v>
      </c>
      <c r="J1116" s="2">
        <v>40.450000000000003</v>
      </c>
      <c r="K1116" t="s">
        <v>79</v>
      </c>
    </row>
    <row r="1117" spans="1:11">
      <c r="A1117" t="s">
        <v>1687</v>
      </c>
      <c r="B1117" s="1">
        <v>45825</v>
      </c>
      <c r="C1117" t="s">
        <v>290</v>
      </c>
      <c r="D1117" t="s">
        <v>30</v>
      </c>
      <c r="E1117" t="s">
        <v>33</v>
      </c>
      <c r="F1117" t="s">
        <v>31</v>
      </c>
      <c r="G1117">
        <v>1</v>
      </c>
      <c r="H1117" s="2">
        <v>82.33</v>
      </c>
      <c r="I1117" s="3">
        <v>0</v>
      </c>
      <c r="J1117" s="2">
        <v>82.33</v>
      </c>
      <c r="K1117" t="s">
        <v>79</v>
      </c>
    </row>
    <row r="1118" spans="1:11">
      <c r="A1118" t="s">
        <v>1688</v>
      </c>
      <c r="B1118" s="1">
        <v>45699</v>
      </c>
      <c r="C1118" t="s">
        <v>290</v>
      </c>
      <c r="D1118" t="s">
        <v>30</v>
      </c>
      <c r="E1118" t="s">
        <v>21</v>
      </c>
      <c r="F1118" t="s">
        <v>40</v>
      </c>
      <c r="G1118">
        <v>2</v>
      </c>
      <c r="H1118" s="2">
        <v>51.59</v>
      </c>
      <c r="I1118" s="3">
        <v>0</v>
      </c>
      <c r="J1118" s="2">
        <v>103.18</v>
      </c>
      <c r="K1118" t="s">
        <v>56</v>
      </c>
    </row>
    <row r="1119" spans="1:11">
      <c r="A1119" t="s">
        <v>1689</v>
      </c>
      <c r="B1119" s="1">
        <v>45918</v>
      </c>
      <c r="C1119" t="s">
        <v>989</v>
      </c>
      <c r="D1119" t="s">
        <v>30</v>
      </c>
      <c r="E1119" t="s">
        <v>25</v>
      </c>
      <c r="F1119" t="s">
        <v>36</v>
      </c>
      <c r="G1119">
        <v>1</v>
      </c>
      <c r="H1119" s="2">
        <v>89.29</v>
      </c>
      <c r="I1119" s="3">
        <v>0.05</v>
      </c>
      <c r="J1119" s="2">
        <v>84.83</v>
      </c>
      <c r="K1119" t="s">
        <v>56</v>
      </c>
    </row>
    <row r="1120" spans="1:11">
      <c r="A1120" t="s">
        <v>1690</v>
      </c>
      <c r="B1120" s="1">
        <v>45911</v>
      </c>
      <c r="C1120" t="s">
        <v>1341</v>
      </c>
      <c r="D1120" t="s">
        <v>22</v>
      </c>
      <c r="E1120" t="s">
        <v>21</v>
      </c>
      <c r="F1120" t="s">
        <v>40</v>
      </c>
      <c r="G1120">
        <v>1</v>
      </c>
      <c r="H1120" s="2">
        <v>48.13</v>
      </c>
      <c r="I1120" s="3">
        <v>0.15</v>
      </c>
      <c r="J1120" s="2">
        <v>40.909999999999997</v>
      </c>
      <c r="K1120" t="s">
        <v>79</v>
      </c>
    </row>
    <row r="1121" spans="1:11">
      <c r="A1121" t="s">
        <v>1691</v>
      </c>
      <c r="B1121" s="1">
        <v>45761</v>
      </c>
      <c r="C1121" t="s">
        <v>188</v>
      </c>
      <c r="D1121" t="s">
        <v>30</v>
      </c>
      <c r="E1121" t="s">
        <v>21</v>
      </c>
      <c r="F1121" t="s">
        <v>40</v>
      </c>
      <c r="G1121">
        <v>3</v>
      </c>
      <c r="H1121" s="2">
        <v>48.05</v>
      </c>
      <c r="I1121" s="3">
        <v>0.05</v>
      </c>
      <c r="J1121" s="2">
        <v>136.94</v>
      </c>
      <c r="K1121" t="s">
        <v>56</v>
      </c>
    </row>
    <row r="1122" spans="1:11">
      <c r="A1122" t="s">
        <v>1692</v>
      </c>
      <c r="B1122" s="1">
        <v>45738</v>
      </c>
      <c r="C1122" t="s">
        <v>174</v>
      </c>
      <c r="D1122" t="s">
        <v>30</v>
      </c>
      <c r="E1122" t="s">
        <v>25</v>
      </c>
      <c r="F1122" t="s">
        <v>36</v>
      </c>
      <c r="G1122">
        <v>1</v>
      </c>
      <c r="H1122" s="2">
        <v>78.14</v>
      </c>
      <c r="I1122" s="3">
        <v>0</v>
      </c>
      <c r="J1122" s="2">
        <v>78.14</v>
      </c>
      <c r="K1122" t="s">
        <v>56</v>
      </c>
    </row>
    <row r="1123" spans="1:11">
      <c r="A1123" t="s">
        <v>1693</v>
      </c>
      <c r="B1123" s="1">
        <v>45838</v>
      </c>
      <c r="C1123" t="s">
        <v>809</v>
      </c>
      <c r="D1123" t="s">
        <v>30</v>
      </c>
      <c r="E1123" t="s">
        <v>33</v>
      </c>
      <c r="F1123" t="s">
        <v>31</v>
      </c>
      <c r="G1123">
        <v>2</v>
      </c>
      <c r="H1123" s="2">
        <v>74.260000000000005</v>
      </c>
      <c r="I1123" s="3">
        <v>0.15</v>
      </c>
      <c r="J1123" s="2">
        <v>126.24</v>
      </c>
      <c r="K1123" t="s">
        <v>61</v>
      </c>
    </row>
    <row r="1124" spans="1:11">
      <c r="A1124" t="s">
        <v>1694</v>
      </c>
      <c r="B1124" s="1">
        <v>45897</v>
      </c>
      <c r="C1124" t="s">
        <v>1458</v>
      </c>
      <c r="D1124" t="s">
        <v>30</v>
      </c>
      <c r="E1124" t="s">
        <v>25</v>
      </c>
      <c r="F1124" t="s">
        <v>38</v>
      </c>
      <c r="G1124">
        <v>1</v>
      </c>
      <c r="H1124" s="2">
        <v>132.74</v>
      </c>
      <c r="I1124" s="3">
        <v>0.05</v>
      </c>
      <c r="J1124" s="2">
        <v>126.1</v>
      </c>
      <c r="K1124" t="s">
        <v>79</v>
      </c>
    </row>
    <row r="1125" spans="1:11">
      <c r="A1125" t="s">
        <v>1695</v>
      </c>
      <c r="B1125" s="1">
        <v>45749</v>
      </c>
      <c r="C1125" t="s">
        <v>470</v>
      </c>
      <c r="D1125" t="s">
        <v>26</v>
      </c>
      <c r="E1125" t="s">
        <v>21</v>
      </c>
      <c r="F1125" t="s">
        <v>40</v>
      </c>
      <c r="G1125">
        <v>1</v>
      </c>
      <c r="H1125" s="2">
        <v>52.09</v>
      </c>
      <c r="I1125" s="3">
        <v>0.05</v>
      </c>
      <c r="J1125" s="2">
        <v>49.49</v>
      </c>
      <c r="K1125" t="s">
        <v>56</v>
      </c>
    </row>
    <row r="1126" spans="1:11">
      <c r="A1126" t="s">
        <v>1696</v>
      </c>
      <c r="B1126" s="1">
        <v>45920</v>
      </c>
      <c r="C1126" t="s">
        <v>1311</v>
      </c>
      <c r="D1126" t="s">
        <v>18</v>
      </c>
      <c r="E1126" t="s">
        <v>21</v>
      </c>
      <c r="F1126" t="s">
        <v>71</v>
      </c>
      <c r="G1126">
        <v>2</v>
      </c>
      <c r="H1126" s="2">
        <v>76.540000000000006</v>
      </c>
      <c r="I1126" s="3">
        <v>0</v>
      </c>
      <c r="J1126" s="2">
        <v>153.08000000000001</v>
      </c>
      <c r="K1126" t="s">
        <v>79</v>
      </c>
    </row>
    <row r="1127" spans="1:11">
      <c r="A1127" t="s">
        <v>1697</v>
      </c>
      <c r="B1127" s="1">
        <v>45842</v>
      </c>
      <c r="C1127" t="s">
        <v>269</v>
      </c>
      <c r="D1127" t="s">
        <v>26</v>
      </c>
      <c r="E1127" t="s">
        <v>17</v>
      </c>
      <c r="F1127" t="s">
        <v>19</v>
      </c>
      <c r="G1127">
        <v>1</v>
      </c>
      <c r="H1127" s="2">
        <v>75.849999999999994</v>
      </c>
      <c r="I1127" s="3">
        <v>0.05</v>
      </c>
      <c r="J1127" s="2">
        <v>72.06</v>
      </c>
      <c r="K1127" t="s">
        <v>56</v>
      </c>
    </row>
    <row r="1128" spans="1:11">
      <c r="A1128" t="s">
        <v>1698</v>
      </c>
      <c r="B1128" s="1">
        <v>46007</v>
      </c>
      <c r="C1128" t="s">
        <v>672</v>
      </c>
      <c r="D1128" t="s">
        <v>26</v>
      </c>
      <c r="E1128" t="s">
        <v>33</v>
      </c>
      <c r="F1128" t="s">
        <v>34</v>
      </c>
      <c r="G1128">
        <v>1</v>
      </c>
      <c r="H1128" s="2">
        <v>30.43</v>
      </c>
      <c r="I1128" s="3">
        <v>0</v>
      </c>
      <c r="J1128" s="2">
        <v>30.43</v>
      </c>
      <c r="K1128" t="s">
        <v>79</v>
      </c>
    </row>
    <row r="1129" spans="1:11">
      <c r="A1129" t="s">
        <v>1699</v>
      </c>
      <c r="B1129" s="1">
        <v>45811</v>
      </c>
      <c r="C1129" t="s">
        <v>1024</v>
      </c>
      <c r="D1129" t="s">
        <v>18</v>
      </c>
      <c r="E1129" t="s">
        <v>33</v>
      </c>
      <c r="F1129" t="s">
        <v>34</v>
      </c>
      <c r="G1129">
        <v>2</v>
      </c>
      <c r="H1129" s="2">
        <v>32.14</v>
      </c>
      <c r="I1129" s="3">
        <v>0.1</v>
      </c>
      <c r="J1129" s="2">
        <v>57.85</v>
      </c>
      <c r="K1129" t="s">
        <v>61</v>
      </c>
    </row>
    <row r="1130" spans="1:11">
      <c r="A1130" t="s">
        <v>1700</v>
      </c>
      <c r="B1130" s="1">
        <v>45992</v>
      </c>
      <c r="C1130" t="s">
        <v>364</v>
      </c>
      <c r="D1130" t="s">
        <v>22</v>
      </c>
      <c r="E1130" t="s">
        <v>21</v>
      </c>
      <c r="F1130" t="s">
        <v>71</v>
      </c>
      <c r="G1130">
        <v>4</v>
      </c>
      <c r="H1130" s="2">
        <v>80.319999999999993</v>
      </c>
      <c r="I1130" s="3">
        <v>0.1</v>
      </c>
      <c r="J1130" s="2">
        <v>289.14999999999998</v>
      </c>
      <c r="K1130" t="s">
        <v>56</v>
      </c>
    </row>
    <row r="1131" spans="1:11">
      <c r="A1131" t="s">
        <v>1701</v>
      </c>
      <c r="B1131" s="1">
        <v>45765</v>
      </c>
      <c r="C1131" t="s">
        <v>91</v>
      </c>
      <c r="D1131" t="s">
        <v>30</v>
      </c>
      <c r="E1131" t="s">
        <v>21</v>
      </c>
      <c r="F1131" t="s">
        <v>40</v>
      </c>
      <c r="G1131">
        <v>1</v>
      </c>
      <c r="H1131" s="2">
        <v>51.14</v>
      </c>
      <c r="I1131" s="3">
        <v>0.15</v>
      </c>
      <c r="J1131" s="2">
        <v>43.47</v>
      </c>
      <c r="K1131" t="s">
        <v>61</v>
      </c>
    </row>
    <row r="1132" spans="1:11">
      <c r="A1132" t="s">
        <v>1702</v>
      </c>
      <c r="B1132" s="1">
        <v>45701</v>
      </c>
      <c r="C1132" t="s">
        <v>667</v>
      </c>
      <c r="D1132" t="s">
        <v>30</v>
      </c>
      <c r="E1132" t="s">
        <v>25</v>
      </c>
      <c r="F1132" t="s">
        <v>36</v>
      </c>
      <c r="G1132">
        <v>3</v>
      </c>
      <c r="H1132" s="2">
        <v>88.24</v>
      </c>
      <c r="I1132" s="3">
        <v>0.1</v>
      </c>
      <c r="J1132" s="2">
        <v>238.25</v>
      </c>
      <c r="K1132" t="s">
        <v>61</v>
      </c>
    </row>
    <row r="1133" spans="1:11">
      <c r="A1133" t="s">
        <v>1703</v>
      </c>
      <c r="B1133" s="1">
        <v>45943</v>
      </c>
      <c r="C1133" t="s">
        <v>728</v>
      </c>
      <c r="D1133" t="s">
        <v>18</v>
      </c>
      <c r="E1133" t="s">
        <v>17</v>
      </c>
      <c r="F1133" t="s">
        <v>19</v>
      </c>
      <c r="G1133">
        <v>1</v>
      </c>
      <c r="H1133" s="2">
        <v>82.21</v>
      </c>
      <c r="I1133" s="3">
        <v>0</v>
      </c>
      <c r="J1133" s="2">
        <v>82.21</v>
      </c>
      <c r="K1133" t="s">
        <v>61</v>
      </c>
    </row>
    <row r="1134" spans="1:11">
      <c r="A1134" t="s">
        <v>1704</v>
      </c>
      <c r="B1134" s="1">
        <v>45995</v>
      </c>
      <c r="C1134" t="s">
        <v>977</v>
      </c>
      <c r="D1134" t="s">
        <v>26</v>
      </c>
      <c r="E1134" t="s">
        <v>25</v>
      </c>
      <c r="F1134" t="s">
        <v>36</v>
      </c>
      <c r="G1134">
        <v>1</v>
      </c>
      <c r="H1134" s="2">
        <v>87.96</v>
      </c>
      <c r="I1134" s="3">
        <v>0.1</v>
      </c>
      <c r="J1134" s="2">
        <v>79.16</v>
      </c>
      <c r="K1134" t="s">
        <v>61</v>
      </c>
    </row>
    <row r="1135" spans="1:11">
      <c r="A1135" t="s">
        <v>1705</v>
      </c>
      <c r="B1135" s="1">
        <v>45958</v>
      </c>
      <c r="C1135" t="s">
        <v>981</v>
      </c>
      <c r="D1135" t="s">
        <v>26</v>
      </c>
      <c r="E1135" t="s">
        <v>17</v>
      </c>
      <c r="F1135" t="s">
        <v>19</v>
      </c>
      <c r="G1135">
        <v>2</v>
      </c>
      <c r="H1135" s="2">
        <v>67.989999999999995</v>
      </c>
      <c r="I1135" s="3">
        <v>0</v>
      </c>
      <c r="J1135" s="2">
        <v>135.97999999999999</v>
      </c>
      <c r="K1135" t="s">
        <v>56</v>
      </c>
    </row>
    <row r="1136" spans="1:11">
      <c r="A1136" t="s">
        <v>1706</v>
      </c>
      <c r="B1136" s="1">
        <v>45980</v>
      </c>
      <c r="C1136" t="s">
        <v>599</v>
      </c>
      <c r="D1136" t="s">
        <v>22</v>
      </c>
      <c r="E1136" t="s">
        <v>29</v>
      </c>
      <c r="F1136" t="s">
        <v>68</v>
      </c>
      <c r="G1136">
        <v>3</v>
      </c>
      <c r="H1136" s="2">
        <v>46.77</v>
      </c>
      <c r="I1136" s="3">
        <v>0.1</v>
      </c>
      <c r="J1136" s="2">
        <v>126.28</v>
      </c>
      <c r="K1136" t="s">
        <v>61</v>
      </c>
    </row>
    <row r="1137" spans="1:11">
      <c r="A1137" t="s">
        <v>1707</v>
      </c>
      <c r="B1137" s="1">
        <v>45690</v>
      </c>
      <c r="C1137" t="s">
        <v>1708</v>
      </c>
      <c r="D1137" t="s">
        <v>30</v>
      </c>
      <c r="E1137" t="s">
        <v>21</v>
      </c>
      <c r="F1137" t="s">
        <v>71</v>
      </c>
      <c r="G1137">
        <v>1</v>
      </c>
      <c r="H1137" s="2">
        <v>69.459999999999994</v>
      </c>
      <c r="I1137" s="3">
        <v>0.05</v>
      </c>
      <c r="J1137" s="2">
        <v>65.989999999999995</v>
      </c>
      <c r="K1137" t="s">
        <v>56</v>
      </c>
    </row>
    <row r="1138" spans="1:11">
      <c r="A1138" t="s">
        <v>1709</v>
      </c>
      <c r="B1138" s="1">
        <v>45813</v>
      </c>
      <c r="C1138" t="s">
        <v>592</v>
      </c>
      <c r="D1138" t="s">
        <v>30</v>
      </c>
      <c r="E1138" t="s">
        <v>17</v>
      </c>
      <c r="F1138" t="s">
        <v>23</v>
      </c>
      <c r="G1138">
        <v>1</v>
      </c>
      <c r="H1138" s="2">
        <v>138.38</v>
      </c>
      <c r="I1138" s="3">
        <v>0</v>
      </c>
      <c r="J1138" s="2">
        <v>138.38</v>
      </c>
      <c r="K1138" t="s">
        <v>79</v>
      </c>
    </row>
    <row r="1139" spans="1:11">
      <c r="A1139" t="s">
        <v>1710</v>
      </c>
      <c r="B1139" s="1">
        <v>45753</v>
      </c>
      <c r="C1139" t="s">
        <v>1593</v>
      </c>
      <c r="D1139" t="s">
        <v>22</v>
      </c>
      <c r="E1139" t="s">
        <v>33</v>
      </c>
      <c r="F1139" t="s">
        <v>31</v>
      </c>
      <c r="G1139">
        <v>1</v>
      </c>
      <c r="H1139" s="2">
        <v>86.42</v>
      </c>
      <c r="I1139" s="3">
        <v>0.05</v>
      </c>
      <c r="J1139" s="2">
        <v>82.1</v>
      </c>
      <c r="K1139" t="s">
        <v>61</v>
      </c>
    </row>
    <row r="1140" spans="1:11">
      <c r="A1140" t="s">
        <v>1711</v>
      </c>
      <c r="B1140" s="1">
        <v>45995</v>
      </c>
      <c r="C1140" t="s">
        <v>1232</v>
      </c>
      <c r="D1140" t="s">
        <v>22</v>
      </c>
      <c r="E1140" t="s">
        <v>21</v>
      </c>
      <c r="F1140" t="s">
        <v>71</v>
      </c>
      <c r="G1140">
        <v>1</v>
      </c>
      <c r="H1140" s="2">
        <v>59.96</v>
      </c>
      <c r="I1140" s="3">
        <v>0.15</v>
      </c>
      <c r="J1140" s="2">
        <v>50.97</v>
      </c>
      <c r="K1140" t="s">
        <v>61</v>
      </c>
    </row>
    <row r="1141" spans="1:11">
      <c r="A1141" t="s">
        <v>1712</v>
      </c>
      <c r="B1141" s="1">
        <v>45868</v>
      </c>
      <c r="C1141" t="s">
        <v>515</v>
      </c>
      <c r="D1141" t="s">
        <v>30</v>
      </c>
      <c r="E1141" t="s">
        <v>25</v>
      </c>
      <c r="F1141" t="s">
        <v>38</v>
      </c>
      <c r="G1141">
        <v>1</v>
      </c>
      <c r="H1141" s="2">
        <v>105.5</v>
      </c>
      <c r="I1141" s="3">
        <v>0.15</v>
      </c>
      <c r="J1141" s="2">
        <v>89.67</v>
      </c>
      <c r="K1141" t="s">
        <v>56</v>
      </c>
    </row>
    <row r="1142" spans="1:11">
      <c r="A1142" t="s">
        <v>1713</v>
      </c>
      <c r="B1142" s="1">
        <v>45693</v>
      </c>
      <c r="C1142" t="s">
        <v>1593</v>
      </c>
      <c r="D1142" t="s">
        <v>26</v>
      </c>
      <c r="E1142" t="s">
        <v>25</v>
      </c>
      <c r="F1142" t="s">
        <v>38</v>
      </c>
      <c r="G1142">
        <v>4</v>
      </c>
      <c r="H1142" s="2">
        <v>135.15</v>
      </c>
      <c r="I1142" s="3">
        <v>0</v>
      </c>
      <c r="J1142" s="2">
        <v>540.6</v>
      </c>
      <c r="K1142" t="s">
        <v>61</v>
      </c>
    </row>
    <row r="1143" spans="1:11">
      <c r="A1143" t="s">
        <v>1714</v>
      </c>
      <c r="B1143" s="1">
        <v>46021</v>
      </c>
      <c r="C1143" t="s">
        <v>725</v>
      </c>
      <c r="D1143" t="s">
        <v>30</v>
      </c>
      <c r="E1143" t="s">
        <v>29</v>
      </c>
      <c r="F1143" t="s">
        <v>92</v>
      </c>
      <c r="G1143">
        <v>1</v>
      </c>
      <c r="H1143" s="2">
        <v>57.71</v>
      </c>
      <c r="I1143" s="3">
        <v>0.05</v>
      </c>
      <c r="J1143" s="2">
        <v>54.82</v>
      </c>
      <c r="K1143" t="s">
        <v>61</v>
      </c>
    </row>
    <row r="1144" spans="1:11">
      <c r="A1144" t="s">
        <v>1715</v>
      </c>
      <c r="B1144" s="1">
        <v>45761</v>
      </c>
      <c r="C1144" t="s">
        <v>1716</v>
      </c>
      <c r="D1144" t="s">
        <v>26</v>
      </c>
      <c r="E1144" t="s">
        <v>17</v>
      </c>
      <c r="F1144" t="s">
        <v>19</v>
      </c>
      <c r="G1144">
        <v>4</v>
      </c>
      <c r="H1144" s="2">
        <v>78.77</v>
      </c>
      <c r="I1144" s="3">
        <v>0.1</v>
      </c>
      <c r="J1144" s="2">
        <v>283.57</v>
      </c>
      <c r="K1144" t="s">
        <v>56</v>
      </c>
    </row>
    <row r="1145" spans="1:11">
      <c r="A1145" t="s">
        <v>1717</v>
      </c>
      <c r="B1145" s="1">
        <v>45909</v>
      </c>
      <c r="C1145" t="s">
        <v>546</v>
      </c>
      <c r="D1145" t="s">
        <v>30</v>
      </c>
      <c r="E1145" t="s">
        <v>21</v>
      </c>
      <c r="F1145" t="s">
        <v>40</v>
      </c>
      <c r="G1145">
        <v>1</v>
      </c>
      <c r="H1145" s="2">
        <v>42.28</v>
      </c>
      <c r="I1145" s="3">
        <v>0</v>
      </c>
      <c r="J1145" s="2">
        <v>42.28</v>
      </c>
      <c r="K1145" t="s">
        <v>61</v>
      </c>
    </row>
    <row r="1146" spans="1:11">
      <c r="A1146" t="s">
        <v>1718</v>
      </c>
      <c r="B1146" s="1">
        <v>46016</v>
      </c>
      <c r="C1146" t="s">
        <v>288</v>
      </c>
      <c r="D1146" t="s">
        <v>22</v>
      </c>
      <c r="E1146" t="s">
        <v>25</v>
      </c>
      <c r="F1146" t="s">
        <v>78</v>
      </c>
      <c r="G1146">
        <v>2</v>
      </c>
      <c r="H1146" s="2">
        <v>38.18</v>
      </c>
      <c r="I1146" s="3">
        <v>0</v>
      </c>
      <c r="J1146" s="2">
        <v>76.36</v>
      </c>
      <c r="K1146" t="s">
        <v>79</v>
      </c>
    </row>
    <row r="1147" spans="1:11">
      <c r="A1147" t="s">
        <v>1719</v>
      </c>
      <c r="B1147" s="1">
        <v>45974</v>
      </c>
      <c r="C1147" t="s">
        <v>176</v>
      </c>
      <c r="D1147" t="s">
        <v>18</v>
      </c>
      <c r="E1147" t="s">
        <v>25</v>
      </c>
      <c r="F1147" t="s">
        <v>78</v>
      </c>
      <c r="G1147">
        <v>1</v>
      </c>
      <c r="H1147" s="2">
        <v>38.1</v>
      </c>
      <c r="I1147" s="3">
        <v>0</v>
      </c>
      <c r="J1147" s="2">
        <v>38.1</v>
      </c>
      <c r="K1147" t="s">
        <v>61</v>
      </c>
    </row>
    <row r="1148" spans="1:11">
      <c r="A1148" t="s">
        <v>1720</v>
      </c>
      <c r="B1148" s="1">
        <v>46015</v>
      </c>
      <c r="C1148" t="s">
        <v>977</v>
      </c>
      <c r="D1148" t="s">
        <v>26</v>
      </c>
      <c r="E1148" t="s">
        <v>17</v>
      </c>
      <c r="F1148" t="s">
        <v>19</v>
      </c>
      <c r="G1148">
        <v>1</v>
      </c>
      <c r="H1148" s="2">
        <v>89.84</v>
      </c>
      <c r="I1148" s="3">
        <v>0.05</v>
      </c>
      <c r="J1148" s="2">
        <v>85.35</v>
      </c>
      <c r="K1148" t="s">
        <v>56</v>
      </c>
    </row>
    <row r="1149" spans="1:11">
      <c r="A1149" t="s">
        <v>1721</v>
      </c>
      <c r="B1149" s="1">
        <v>45692</v>
      </c>
      <c r="C1149" t="s">
        <v>158</v>
      </c>
      <c r="D1149" t="s">
        <v>18</v>
      </c>
      <c r="E1149" t="s">
        <v>25</v>
      </c>
      <c r="F1149" t="s">
        <v>78</v>
      </c>
      <c r="G1149">
        <v>2</v>
      </c>
      <c r="H1149" s="2">
        <v>44.76</v>
      </c>
      <c r="I1149" s="3">
        <v>0.1</v>
      </c>
      <c r="J1149" s="2">
        <v>80.569999999999993</v>
      </c>
      <c r="K1149" t="s">
        <v>61</v>
      </c>
    </row>
    <row r="1150" spans="1:11">
      <c r="A1150" t="s">
        <v>1722</v>
      </c>
      <c r="B1150" s="1">
        <v>45697</v>
      </c>
      <c r="C1150" t="s">
        <v>1521</v>
      </c>
      <c r="D1150" t="s">
        <v>22</v>
      </c>
      <c r="E1150" t="s">
        <v>17</v>
      </c>
      <c r="F1150" t="s">
        <v>23</v>
      </c>
      <c r="G1150">
        <v>1</v>
      </c>
      <c r="H1150" s="2">
        <v>142.83000000000001</v>
      </c>
      <c r="I1150" s="3">
        <v>0.1</v>
      </c>
      <c r="J1150" s="2">
        <v>128.55000000000001</v>
      </c>
      <c r="K1150" t="s">
        <v>61</v>
      </c>
    </row>
    <row r="1151" spans="1:11">
      <c r="A1151" t="s">
        <v>1723</v>
      </c>
      <c r="B1151" s="1">
        <v>45764</v>
      </c>
      <c r="C1151" t="s">
        <v>599</v>
      </c>
      <c r="D1151" t="s">
        <v>26</v>
      </c>
      <c r="E1151" t="s">
        <v>21</v>
      </c>
      <c r="F1151" t="s">
        <v>71</v>
      </c>
      <c r="G1151">
        <v>1</v>
      </c>
      <c r="H1151" s="2">
        <v>59.26</v>
      </c>
      <c r="I1151" s="3">
        <v>0.1</v>
      </c>
      <c r="J1151" s="2">
        <v>53.33</v>
      </c>
      <c r="K1151" t="s">
        <v>56</v>
      </c>
    </row>
    <row r="1152" spans="1:11">
      <c r="A1152" t="s">
        <v>1724</v>
      </c>
      <c r="B1152" s="1">
        <v>45862</v>
      </c>
      <c r="C1152" t="s">
        <v>1102</v>
      </c>
      <c r="D1152" t="s">
        <v>26</v>
      </c>
      <c r="E1152" t="s">
        <v>33</v>
      </c>
      <c r="F1152" t="s">
        <v>31</v>
      </c>
      <c r="G1152">
        <v>1</v>
      </c>
      <c r="H1152" s="2">
        <v>63.16</v>
      </c>
      <c r="I1152" s="3">
        <v>0</v>
      </c>
      <c r="J1152" s="2">
        <v>63.16</v>
      </c>
      <c r="K1152" t="s">
        <v>56</v>
      </c>
    </row>
    <row r="1153" spans="1:11">
      <c r="A1153" t="s">
        <v>1725</v>
      </c>
      <c r="B1153" s="1">
        <v>45895</v>
      </c>
      <c r="C1153" t="s">
        <v>108</v>
      </c>
      <c r="D1153" t="s">
        <v>22</v>
      </c>
      <c r="E1153" t="s">
        <v>21</v>
      </c>
      <c r="F1153" t="s">
        <v>40</v>
      </c>
      <c r="G1153">
        <v>1</v>
      </c>
      <c r="H1153" s="2">
        <v>42.98</v>
      </c>
      <c r="I1153" s="3">
        <v>0</v>
      </c>
      <c r="J1153" s="2">
        <v>42.98</v>
      </c>
      <c r="K1153" t="s">
        <v>61</v>
      </c>
    </row>
    <row r="1154" spans="1:11">
      <c r="A1154" t="s">
        <v>1726</v>
      </c>
      <c r="B1154" s="1">
        <v>45800</v>
      </c>
      <c r="C1154" t="s">
        <v>1727</v>
      </c>
      <c r="D1154" t="s">
        <v>26</v>
      </c>
      <c r="E1154" t="s">
        <v>17</v>
      </c>
      <c r="F1154" t="s">
        <v>27</v>
      </c>
      <c r="G1154">
        <v>1</v>
      </c>
      <c r="H1154" s="2">
        <v>50.5</v>
      </c>
      <c r="I1154" s="3">
        <v>0</v>
      </c>
      <c r="J1154" s="2">
        <v>50.5</v>
      </c>
      <c r="K1154" t="s">
        <v>79</v>
      </c>
    </row>
    <row r="1155" spans="1:11">
      <c r="A1155" t="s">
        <v>1728</v>
      </c>
      <c r="B1155" s="1">
        <v>45931</v>
      </c>
      <c r="C1155" t="s">
        <v>1458</v>
      </c>
      <c r="D1155" t="s">
        <v>22</v>
      </c>
      <c r="E1155" t="s">
        <v>25</v>
      </c>
      <c r="F1155" t="s">
        <v>78</v>
      </c>
      <c r="G1155">
        <v>1</v>
      </c>
      <c r="H1155" s="2">
        <v>34.15</v>
      </c>
      <c r="I1155" s="3">
        <v>0</v>
      </c>
      <c r="J1155" s="2">
        <v>34.15</v>
      </c>
      <c r="K1155" t="s">
        <v>61</v>
      </c>
    </row>
    <row r="1156" spans="1:11">
      <c r="A1156" t="s">
        <v>1729</v>
      </c>
      <c r="B1156" s="1">
        <v>45841</v>
      </c>
      <c r="C1156" t="s">
        <v>348</v>
      </c>
      <c r="D1156" t="s">
        <v>30</v>
      </c>
      <c r="E1156" t="s">
        <v>17</v>
      </c>
      <c r="F1156" t="s">
        <v>27</v>
      </c>
      <c r="G1156">
        <v>1</v>
      </c>
      <c r="H1156" s="2">
        <v>50.82</v>
      </c>
      <c r="I1156" s="3">
        <v>0.15</v>
      </c>
      <c r="J1156" s="2">
        <v>43.2</v>
      </c>
      <c r="K1156" t="s">
        <v>56</v>
      </c>
    </row>
    <row r="1157" spans="1:11">
      <c r="A1157" t="s">
        <v>1730</v>
      </c>
      <c r="B1157" s="1">
        <v>45682</v>
      </c>
      <c r="C1157" t="s">
        <v>1088</v>
      </c>
      <c r="D1157" t="s">
        <v>26</v>
      </c>
      <c r="E1157" t="s">
        <v>29</v>
      </c>
      <c r="F1157" t="s">
        <v>92</v>
      </c>
      <c r="G1157">
        <v>2</v>
      </c>
      <c r="H1157" s="2">
        <v>58.38</v>
      </c>
      <c r="I1157" s="3">
        <v>0</v>
      </c>
      <c r="J1157" s="2">
        <v>116.76</v>
      </c>
      <c r="K1157" t="s">
        <v>61</v>
      </c>
    </row>
    <row r="1158" spans="1:11">
      <c r="A1158" t="s">
        <v>1731</v>
      </c>
      <c r="B1158" s="1">
        <v>45684</v>
      </c>
      <c r="C1158" t="s">
        <v>1511</v>
      </c>
      <c r="D1158" t="s">
        <v>26</v>
      </c>
      <c r="E1158" t="s">
        <v>29</v>
      </c>
      <c r="F1158" t="s">
        <v>68</v>
      </c>
      <c r="G1158">
        <v>1</v>
      </c>
      <c r="H1158" s="2">
        <v>49.72</v>
      </c>
      <c r="I1158" s="3">
        <v>0</v>
      </c>
      <c r="J1158" s="2">
        <v>49.72</v>
      </c>
      <c r="K1158" t="s">
        <v>79</v>
      </c>
    </row>
    <row r="1159" spans="1:11">
      <c r="A1159" t="s">
        <v>1732</v>
      </c>
      <c r="B1159" s="1">
        <v>45760</v>
      </c>
      <c r="C1159" t="s">
        <v>505</v>
      </c>
      <c r="D1159" t="s">
        <v>22</v>
      </c>
      <c r="E1159" t="s">
        <v>17</v>
      </c>
      <c r="F1159" t="s">
        <v>23</v>
      </c>
      <c r="G1159">
        <v>1</v>
      </c>
      <c r="H1159" s="2">
        <v>110.84</v>
      </c>
      <c r="I1159" s="3">
        <v>0</v>
      </c>
      <c r="J1159" s="2">
        <v>110.84</v>
      </c>
      <c r="K1159" t="s">
        <v>56</v>
      </c>
    </row>
    <row r="1160" spans="1:11">
      <c r="A1160" t="s">
        <v>1733</v>
      </c>
      <c r="B1160" s="1">
        <v>46000</v>
      </c>
      <c r="C1160" t="s">
        <v>702</v>
      </c>
      <c r="D1160" t="s">
        <v>18</v>
      </c>
      <c r="E1160" t="s">
        <v>17</v>
      </c>
      <c r="F1160" t="s">
        <v>23</v>
      </c>
      <c r="G1160">
        <v>1</v>
      </c>
      <c r="H1160" s="2">
        <v>147.21</v>
      </c>
      <c r="I1160" s="3">
        <v>0</v>
      </c>
      <c r="J1160" s="2">
        <v>147.21</v>
      </c>
      <c r="K1160" t="s">
        <v>61</v>
      </c>
    </row>
    <row r="1161" spans="1:11">
      <c r="A1161" t="s">
        <v>1734</v>
      </c>
      <c r="B1161" s="1">
        <v>45920</v>
      </c>
      <c r="C1161" t="s">
        <v>776</v>
      </c>
      <c r="D1161" t="s">
        <v>30</v>
      </c>
      <c r="E1161" t="s">
        <v>17</v>
      </c>
      <c r="F1161" t="s">
        <v>23</v>
      </c>
      <c r="G1161">
        <v>2</v>
      </c>
      <c r="H1161" s="2">
        <v>123.39</v>
      </c>
      <c r="I1161" s="3">
        <v>0</v>
      </c>
      <c r="J1161" s="2">
        <v>246.78</v>
      </c>
      <c r="K1161" t="s">
        <v>61</v>
      </c>
    </row>
    <row r="1162" spans="1:11">
      <c r="A1162" t="s">
        <v>1735</v>
      </c>
      <c r="B1162" s="1">
        <v>45719</v>
      </c>
      <c r="C1162" t="s">
        <v>1736</v>
      </c>
      <c r="D1162" t="s">
        <v>30</v>
      </c>
      <c r="E1162" t="s">
        <v>33</v>
      </c>
      <c r="F1162" t="s">
        <v>31</v>
      </c>
      <c r="G1162">
        <v>1</v>
      </c>
      <c r="H1162" s="2">
        <v>71.61</v>
      </c>
      <c r="I1162" s="3">
        <v>0</v>
      </c>
      <c r="J1162" s="2">
        <v>71.61</v>
      </c>
      <c r="K1162" t="s">
        <v>56</v>
      </c>
    </row>
    <row r="1163" spans="1:11">
      <c r="A1163" t="s">
        <v>1737</v>
      </c>
      <c r="B1163" s="1">
        <v>45819</v>
      </c>
      <c r="C1163" t="s">
        <v>229</v>
      </c>
      <c r="D1163" t="s">
        <v>26</v>
      </c>
      <c r="E1163" t="s">
        <v>17</v>
      </c>
      <c r="F1163" t="s">
        <v>19</v>
      </c>
      <c r="G1163">
        <v>1</v>
      </c>
      <c r="H1163" s="2">
        <v>79.11</v>
      </c>
      <c r="I1163" s="3">
        <v>0</v>
      </c>
      <c r="J1163" s="2">
        <v>79.11</v>
      </c>
      <c r="K1163" t="s">
        <v>79</v>
      </c>
    </row>
    <row r="1164" spans="1:11">
      <c r="A1164" t="s">
        <v>1738</v>
      </c>
      <c r="B1164" s="1">
        <v>45692</v>
      </c>
      <c r="C1164" t="s">
        <v>1106</v>
      </c>
      <c r="D1164" t="s">
        <v>22</v>
      </c>
      <c r="E1164" t="s">
        <v>33</v>
      </c>
      <c r="F1164" t="s">
        <v>31</v>
      </c>
      <c r="G1164">
        <v>1</v>
      </c>
      <c r="H1164" s="2">
        <v>81.64</v>
      </c>
      <c r="I1164" s="3">
        <v>0.1</v>
      </c>
      <c r="J1164" s="2">
        <v>73.48</v>
      </c>
      <c r="K1164" t="s">
        <v>61</v>
      </c>
    </row>
    <row r="1165" spans="1:11">
      <c r="A1165" t="s">
        <v>1739</v>
      </c>
      <c r="B1165" s="1">
        <v>45706</v>
      </c>
      <c r="C1165" t="s">
        <v>587</v>
      </c>
      <c r="D1165" t="s">
        <v>26</v>
      </c>
      <c r="E1165" t="s">
        <v>29</v>
      </c>
      <c r="F1165" t="s">
        <v>68</v>
      </c>
      <c r="G1165">
        <v>1</v>
      </c>
      <c r="H1165" s="2">
        <v>47.62</v>
      </c>
      <c r="I1165" s="3">
        <v>0.1</v>
      </c>
      <c r="J1165" s="2">
        <v>42.86</v>
      </c>
      <c r="K1165" t="s">
        <v>79</v>
      </c>
    </row>
    <row r="1166" spans="1:11">
      <c r="A1166" t="s">
        <v>1740</v>
      </c>
      <c r="B1166" s="1">
        <v>45983</v>
      </c>
      <c r="C1166" t="s">
        <v>622</v>
      </c>
      <c r="D1166" t="s">
        <v>26</v>
      </c>
      <c r="E1166" t="s">
        <v>25</v>
      </c>
      <c r="F1166" t="s">
        <v>78</v>
      </c>
      <c r="G1166">
        <v>1</v>
      </c>
      <c r="H1166" s="2">
        <v>44.11</v>
      </c>
      <c r="I1166" s="3">
        <v>0.1</v>
      </c>
      <c r="J1166" s="2">
        <v>39.700000000000003</v>
      </c>
      <c r="K1166" t="s">
        <v>79</v>
      </c>
    </row>
    <row r="1167" spans="1:11">
      <c r="A1167" t="s">
        <v>1741</v>
      </c>
      <c r="B1167" s="1">
        <v>45969</v>
      </c>
      <c r="C1167" t="s">
        <v>1742</v>
      </c>
      <c r="D1167" t="s">
        <v>18</v>
      </c>
      <c r="E1167" t="s">
        <v>29</v>
      </c>
      <c r="F1167" t="s">
        <v>68</v>
      </c>
      <c r="G1167">
        <v>1</v>
      </c>
      <c r="H1167" s="2">
        <v>45.84</v>
      </c>
      <c r="I1167" s="3">
        <v>0</v>
      </c>
      <c r="J1167" s="2">
        <v>45.84</v>
      </c>
      <c r="K1167" t="s">
        <v>79</v>
      </c>
    </row>
    <row r="1168" spans="1:11">
      <c r="A1168" t="s">
        <v>1743</v>
      </c>
      <c r="B1168" s="1">
        <v>45668</v>
      </c>
      <c r="C1168" t="s">
        <v>87</v>
      </c>
      <c r="D1168" t="s">
        <v>22</v>
      </c>
      <c r="E1168" t="s">
        <v>29</v>
      </c>
      <c r="F1168" t="s">
        <v>68</v>
      </c>
      <c r="G1168">
        <v>2</v>
      </c>
      <c r="H1168" s="2">
        <v>40.090000000000003</v>
      </c>
      <c r="I1168" s="3">
        <v>0</v>
      </c>
      <c r="J1168" s="2">
        <v>80.180000000000007</v>
      </c>
      <c r="K1168" t="s">
        <v>56</v>
      </c>
    </row>
    <row r="1169" spans="1:11">
      <c r="A1169" t="s">
        <v>1744</v>
      </c>
      <c r="B1169" s="1">
        <v>45698</v>
      </c>
      <c r="C1169" t="s">
        <v>253</v>
      </c>
      <c r="D1169" t="s">
        <v>30</v>
      </c>
      <c r="E1169" t="s">
        <v>17</v>
      </c>
      <c r="F1169" t="s">
        <v>19</v>
      </c>
      <c r="G1169">
        <v>1</v>
      </c>
      <c r="H1169" s="2">
        <v>80.150000000000006</v>
      </c>
      <c r="I1169" s="3">
        <v>0</v>
      </c>
      <c r="J1169" s="2">
        <v>80.150000000000006</v>
      </c>
      <c r="K1169" t="s">
        <v>79</v>
      </c>
    </row>
    <row r="1170" spans="1:11">
      <c r="A1170" t="s">
        <v>1745</v>
      </c>
      <c r="B1170" s="1">
        <v>45986</v>
      </c>
      <c r="C1170" t="s">
        <v>303</v>
      </c>
      <c r="D1170" t="s">
        <v>22</v>
      </c>
      <c r="E1170" t="s">
        <v>17</v>
      </c>
      <c r="F1170" t="s">
        <v>19</v>
      </c>
      <c r="G1170">
        <v>1</v>
      </c>
      <c r="H1170" s="2">
        <v>86.06</v>
      </c>
      <c r="I1170" s="3">
        <v>0.1</v>
      </c>
      <c r="J1170" s="2">
        <v>77.45</v>
      </c>
      <c r="K1170" t="s">
        <v>61</v>
      </c>
    </row>
    <row r="1171" spans="1:11">
      <c r="A1171" t="s">
        <v>1746</v>
      </c>
      <c r="B1171" s="1">
        <v>45820</v>
      </c>
      <c r="C1171" t="s">
        <v>522</v>
      </c>
      <c r="D1171" t="s">
        <v>18</v>
      </c>
      <c r="E1171" t="s">
        <v>29</v>
      </c>
      <c r="F1171" t="s">
        <v>92</v>
      </c>
      <c r="G1171">
        <v>2</v>
      </c>
      <c r="H1171" s="2">
        <v>47.47</v>
      </c>
      <c r="I1171" s="3">
        <v>0.1</v>
      </c>
      <c r="J1171" s="2">
        <v>85.45</v>
      </c>
      <c r="K1171" t="s">
        <v>79</v>
      </c>
    </row>
    <row r="1172" spans="1:11">
      <c r="A1172" t="s">
        <v>1747</v>
      </c>
      <c r="B1172" s="1">
        <v>45827</v>
      </c>
      <c r="C1172" t="s">
        <v>160</v>
      </c>
      <c r="D1172" t="s">
        <v>30</v>
      </c>
      <c r="E1172" t="s">
        <v>25</v>
      </c>
      <c r="F1172" t="s">
        <v>36</v>
      </c>
      <c r="G1172">
        <v>1</v>
      </c>
      <c r="H1172" s="2">
        <v>91.49</v>
      </c>
      <c r="I1172" s="3">
        <v>0</v>
      </c>
      <c r="J1172" s="2">
        <v>91.49</v>
      </c>
      <c r="K1172" t="s">
        <v>56</v>
      </c>
    </row>
    <row r="1173" spans="1:11">
      <c r="A1173" t="s">
        <v>1748</v>
      </c>
      <c r="B1173" s="1">
        <v>45822</v>
      </c>
      <c r="C1173" t="s">
        <v>1749</v>
      </c>
      <c r="D1173" t="s">
        <v>22</v>
      </c>
      <c r="E1173" t="s">
        <v>17</v>
      </c>
      <c r="F1173" t="s">
        <v>27</v>
      </c>
      <c r="G1173">
        <v>1</v>
      </c>
      <c r="H1173" s="2">
        <v>50.27</v>
      </c>
      <c r="I1173" s="3">
        <v>0.1</v>
      </c>
      <c r="J1173" s="2">
        <v>45.24</v>
      </c>
      <c r="K1173" t="s">
        <v>79</v>
      </c>
    </row>
    <row r="1174" spans="1:11">
      <c r="A1174" t="s">
        <v>1750</v>
      </c>
      <c r="B1174" s="1">
        <v>45982</v>
      </c>
      <c r="C1174" t="s">
        <v>832</v>
      </c>
      <c r="D1174" t="s">
        <v>22</v>
      </c>
      <c r="E1174" t="s">
        <v>17</v>
      </c>
      <c r="F1174" t="s">
        <v>27</v>
      </c>
      <c r="G1174">
        <v>3</v>
      </c>
      <c r="H1174" s="2">
        <v>52.59</v>
      </c>
      <c r="I1174" s="3">
        <v>0</v>
      </c>
      <c r="J1174" s="2">
        <v>157.77000000000001</v>
      </c>
      <c r="K1174" t="s">
        <v>79</v>
      </c>
    </row>
    <row r="1175" spans="1:11">
      <c r="A1175" t="s">
        <v>1751</v>
      </c>
      <c r="B1175" s="1">
        <v>45917</v>
      </c>
      <c r="C1175" t="s">
        <v>688</v>
      </c>
      <c r="D1175" t="s">
        <v>22</v>
      </c>
      <c r="E1175" t="s">
        <v>17</v>
      </c>
      <c r="F1175" t="s">
        <v>23</v>
      </c>
      <c r="G1175">
        <v>1</v>
      </c>
      <c r="H1175" s="2">
        <v>129.53</v>
      </c>
      <c r="I1175" s="3">
        <v>0</v>
      </c>
      <c r="J1175" s="2">
        <v>129.53</v>
      </c>
      <c r="K1175" t="s">
        <v>61</v>
      </c>
    </row>
    <row r="1176" spans="1:11">
      <c r="A1176" t="s">
        <v>1752</v>
      </c>
      <c r="B1176" s="1">
        <v>45748</v>
      </c>
      <c r="C1176" t="s">
        <v>464</v>
      </c>
      <c r="D1176" t="s">
        <v>26</v>
      </c>
      <c r="E1176" t="s">
        <v>29</v>
      </c>
      <c r="F1176" t="s">
        <v>68</v>
      </c>
      <c r="G1176">
        <v>1</v>
      </c>
      <c r="H1176" s="2">
        <v>42.49</v>
      </c>
      <c r="I1176" s="3">
        <v>0.1</v>
      </c>
      <c r="J1176" s="2">
        <v>38.24</v>
      </c>
      <c r="K1176" t="s">
        <v>61</v>
      </c>
    </row>
    <row r="1177" spans="1:11">
      <c r="A1177" t="s">
        <v>1753</v>
      </c>
      <c r="B1177" s="1">
        <v>45698</v>
      </c>
      <c r="C1177" t="s">
        <v>63</v>
      </c>
      <c r="D1177" t="s">
        <v>30</v>
      </c>
      <c r="E1177" t="s">
        <v>25</v>
      </c>
      <c r="F1177" t="s">
        <v>36</v>
      </c>
      <c r="G1177">
        <v>1</v>
      </c>
      <c r="H1177" s="2">
        <v>80.58</v>
      </c>
      <c r="I1177" s="3">
        <v>0.1</v>
      </c>
      <c r="J1177" s="2">
        <v>72.52</v>
      </c>
      <c r="K1177" t="s">
        <v>79</v>
      </c>
    </row>
    <row r="1178" spans="1:11">
      <c r="A1178" t="s">
        <v>1754</v>
      </c>
      <c r="B1178" s="1">
        <v>45904</v>
      </c>
      <c r="C1178" t="s">
        <v>630</v>
      </c>
      <c r="D1178" t="s">
        <v>22</v>
      </c>
      <c r="E1178" t="s">
        <v>17</v>
      </c>
      <c r="F1178" t="s">
        <v>19</v>
      </c>
      <c r="G1178">
        <v>2</v>
      </c>
      <c r="H1178" s="2">
        <v>78.290000000000006</v>
      </c>
      <c r="I1178" s="3">
        <v>0</v>
      </c>
      <c r="J1178" s="2">
        <v>156.58000000000001</v>
      </c>
      <c r="K1178" t="s">
        <v>56</v>
      </c>
    </row>
    <row r="1179" spans="1:11">
      <c r="A1179" t="s">
        <v>1755</v>
      </c>
      <c r="B1179" s="1">
        <v>45747</v>
      </c>
      <c r="C1179" t="s">
        <v>1756</v>
      </c>
      <c r="D1179" t="s">
        <v>30</v>
      </c>
      <c r="E1179" t="s">
        <v>33</v>
      </c>
      <c r="F1179" t="s">
        <v>34</v>
      </c>
      <c r="G1179">
        <v>1</v>
      </c>
      <c r="H1179" s="2">
        <v>27.58</v>
      </c>
      <c r="I1179" s="3">
        <v>0.05</v>
      </c>
      <c r="J1179" s="2">
        <v>26.2</v>
      </c>
      <c r="K1179" t="s">
        <v>79</v>
      </c>
    </row>
    <row r="1180" spans="1:11">
      <c r="A1180" t="s">
        <v>1757</v>
      </c>
      <c r="B1180" s="1">
        <v>45828</v>
      </c>
      <c r="C1180" t="s">
        <v>943</v>
      </c>
      <c r="D1180" t="s">
        <v>18</v>
      </c>
      <c r="E1180" t="s">
        <v>17</v>
      </c>
      <c r="F1180" t="s">
        <v>27</v>
      </c>
      <c r="G1180">
        <v>2</v>
      </c>
      <c r="H1180" s="2">
        <v>53.96</v>
      </c>
      <c r="I1180" s="3">
        <v>0</v>
      </c>
      <c r="J1180" s="2">
        <v>107.92</v>
      </c>
      <c r="K1180" t="s">
        <v>56</v>
      </c>
    </row>
    <row r="1181" spans="1:11">
      <c r="A1181" t="s">
        <v>1758</v>
      </c>
      <c r="B1181" s="1">
        <v>45849</v>
      </c>
      <c r="C1181" t="s">
        <v>989</v>
      </c>
      <c r="D1181" t="s">
        <v>30</v>
      </c>
      <c r="E1181" t="s">
        <v>21</v>
      </c>
      <c r="F1181" t="s">
        <v>40</v>
      </c>
      <c r="G1181">
        <v>1</v>
      </c>
      <c r="H1181" s="2">
        <v>48.37</v>
      </c>
      <c r="I1181" s="3">
        <v>0.1</v>
      </c>
      <c r="J1181" s="2">
        <v>43.53</v>
      </c>
      <c r="K1181" t="s">
        <v>61</v>
      </c>
    </row>
    <row r="1182" spans="1:11">
      <c r="A1182" t="s">
        <v>1759</v>
      </c>
      <c r="B1182" s="1">
        <v>45815</v>
      </c>
      <c r="C1182" t="s">
        <v>1421</v>
      </c>
      <c r="D1182" t="s">
        <v>30</v>
      </c>
      <c r="E1182" t="s">
        <v>29</v>
      </c>
      <c r="F1182" t="s">
        <v>92</v>
      </c>
      <c r="G1182">
        <v>4</v>
      </c>
      <c r="H1182" s="2">
        <v>48.04</v>
      </c>
      <c r="I1182" s="3">
        <v>0</v>
      </c>
      <c r="J1182" s="2">
        <v>192.16</v>
      </c>
      <c r="K1182" t="s">
        <v>56</v>
      </c>
    </row>
    <row r="1183" spans="1:11">
      <c r="A1183" t="s">
        <v>1760</v>
      </c>
      <c r="B1183" s="1">
        <v>45741</v>
      </c>
      <c r="C1183" t="s">
        <v>531</v>
      </c>
      <c r="D1183" t="s">
        <v>30</v>
      </c>
      <c r="E1183" t="s">
        <v>33</v>
      </c>
      <c r="F1183" t="s">
        <v>31</v>
      </c>
      <c r="G1183">
        <v>2</v>
      </c>
      <c r="H1183" s="2">
        <v>86.27</v>
      </c>
      <c r="I1183" s="3">
        <v>0.05</v>
      </c>
      <c r="J1183" s="2">
        <v>163.91</v>
      </c>
      <c r="K1183" t="s">
        <v>56</v>
      </c>
    </row>
    <row r="1184" spans="1:11">
      <c r="A1184" t="s">
        <v>1761</v>
      </c>
      <c r="B1184" s="1">
        <v>46010</v>
      </c>
      <c r="C1184" t="s">
        <v>1716</v>
      </c>
      <c r="D1184" t="s">
        <v>22</v>
      </c>
      <c r="E1184" t="s">
        <v>25</v>
      </c>
      <c r="F1184" t="s">
        <v>36</v>
      </c>
      <c r="G1184">
        <v>2</v>
      </c>
      <c r="H1184" s="2">
        <v>94.77</v>
      </c>
      <c r="I1184" s="3">
        <v>0.1</v>
      </c>
      <c r="J1184" s="2">
        <v>170.59</v>
      </c>
      <c r="K1184" t="s">
        <v>61</v>
      </c>
    </row>
    <row r="1185" spans="1:11">
      <c r="A1185" t="s">
        <v>1762</v>
      </c>
      <c r="B1185" s="1">
        <v>45675</v>
      </c>
      <c r="C1185" t="s">
        <v>614</v>
      </c>
      <c r="D1185" t="s">
        <v>30</v>
      </c>
      <c r="E1185" t="s">
        <v>25</v>
      </c>
      <c r="F1185" t="s">
        <v>36</v>
      </c>
      <c r="G1185">
        <v>2</v>
      </c>
      <c r="H1185" s="2">
        <v>95.52</v>
      </c>
      <c r="I1185" s="3">
        <v>0</v>
      </c>
      <c r="J1185" s="2">
        <v>191.04</v>
      </c>
      <c r="K1185" t="s">
        <v>56</v>
      </c>
    </row>
    <row r="1186" spans="1:11">
      <c r="A1186" t="s">
        <v>1763</v>
      </c>
      <c r="B1186" s="1">
        <v>45733</v>
      </c>
      <c r="C1186" t="s">
        <v>224</v>
      </c>
      <c r="D1186" t="s">
        <v>18</v>
      </c>
      <c r="E1186" t="s">
        <v>33</v>
      </c>
      <c r="F1186" t="s">
        <v>34</v>
      </c>
      <c r="G1186">
        <v>1</v>
      </c>
      <c r="H1186" s="2">
        <v>30.18</v>
      </c>
      <c r="I1186" s="3">
        <v>0</v>
      </c>
      <c r="J1186" s="2">
        <v>30.18</v>
      </c>
      <c r="K1186" t="s">
        <v>79</v>
      </c>
    </row>
    <row r="1187" spans="1:11">
      <c r="A1187" t="s">
        <v>1764</v>
      </c>
      <c r="B1187" s="1">
        <v>45987</v>
      </c>
      <c r="C1187" t="s">
        <v>1765</v>
      </c>
      <c r="D1187" t="s">
        <v>22</v>
      </c>
      <c r="E1187" t="s">
        <v>25</v>
      </c>
      <c r="F1187" t="s">
        <v>78</v>
      </c>
      <c r="G1187">
        <v>3</v>
      </c>
      <c r="H1187" s="2">
        <v>38.270000000000003</v>
      </c>
      <c r="I1187" s="3">
        <v>0.15</v>
      </c>
      <c r="J1187" s="2">
        <v>97.59</v>
      </c>
      <c r="K1187" t="s">
        <v>61</v>
      </c>
    </row>
    <row r="1188" spans="1:11">
      <c r="A1188" t="s">
        <v>1766</v>
      </c>
      <c r="B1188" s="1">
        <v>45742</v>
      </c>
      <c r="C1188" t="s">
        <v>1158</v>
      </c>
      <c r="D1188" t="s">
        <v>26</v>
      </c>
      <c r="E1188" t="s">
        <v>25</v>
      </c>
      <c r="F1188" t="s">
        <v>38</v>
      </c>
      <c r="G1188">
        <v>1</v>
      </c>
      <c r="H1188" s="2">
        <v>113.02</v>
      </c>
      <c r="I1188" s="3">
        <v>0.15</v>
      </c>
      <c r="J1188" s="2">
        <v>96.07</v>
      </c>
      <c r="K1188" t="s">
        <v>56</v>
      </c>
    </row>
    <row r="1189" spans="1:11">
      <c r="A1189" t="s">
        <v>1767</v>
      </c>
      <c r="B1189" s="1">
        <v>45868</v>
      </c>
      <c r="C1189" t="s">
        <v>1591</v>
      </c>
      <c r="D1189" t="s">
        <v>22</v>
      </c>
      <c r="E1189" t="s">
        <v>25</v>
      </c>
      <c r="F1189" t="s">
        <v>78</v>
      </c>
      <c r="G1189">
        <v>3</v>
      </c>
      <c r="H1189" s="2">
        <v>34.56</v>
      </c>
      <c r="I1189" s="3">
        <v>0.15</v>
      </c>
      <c r="J1189" s="2">
        <v>88.13</v>
      </c>
      <c r="K1189" t="s">
        <v>61</v>
      </c>
    </row>
    <row r="1190" spans="1:11">
      <c r="A1190" t="s">
        <v>1768</v>
      </c>
      <c r="B1190" s="1">
        <v>45765</v>
      </c>
      <c r="C1190" t="s">
        <v>1104</v>
      </c>
      <c r="D1190" t="s">
        <v>18</v>
      </c>
      <c r="E1190" t="s">
        <v>25</v>
      </c>
      <c r="F1190" t="s">
        <v>78</v>
      </c>
      <c r="G1190">
        <v>1</v>
      </c>
      <c r="H1190" s="2">
        <v>37.119999999999997</v>
      </c>
      <c r="I1190" s="3">
        <v>0</v>
      </c>
      <c r="J1190" s="2">
        <v>37.119999999999997</v>
      </c>
      <c r="K1190" t="s">
        <v>79</v>
      </c>
    </row>
    <row r="1191" spans="1:11">
      <c r="A1191" t="s">
        <v>1769</v>
      </c>
      <c r="B1191" s="1">
        <v>45693</v>
      </c>
      <c r="C1191" t="s">
        <v>1034</v>
      </c>
      <c r="D1191" t="s">
        <v>22</v>
      </c>
      <c r="E1191" t="s">
        <v>25</v>
      </c>
      <c r="F1191" t="s">
        <v>78</v>
      </c>
      <c r="G1191">
        <v>1</v>
      </c>
      <c r="H1191" s="2">
        <v>38.51</v>
      </c>
      <c r="I1191" s="3">
        <v>0.05</v>
      </c>
      <c r="J1191" s="2">
        <v>36.58</v>
      </c>
      <c r="K1191" t="s">
        <v>79</v>
      </c>
    </row>
    <row r="1192" spans="1:11">
      <c r="A1192" t="s">
        <v>1770</v>
      </c>
      <c r="B1192" s="1">
        <v>45849</v>
      </c>
      <c r="C1192" t="s">
        <v>436</v>
      </c>
      <c r="D1192" t="s">
        <v>18</v>
      </c>
      <c r="E1192" t="s">
        <v>17</v>
      </c>
      <c r="F1192" t="s">
        <v>27</v>
      </c>
      <c r="G1192">
        <v>2</v>
      </c>
      <c r="H1192" s="2">
        <v>54.01</v>
      </c>
      <c r="I1192" s="3">
        <v>0</v>
      </c>
      <c r="J1192" s="2">
        <v>108.02</v>
      </c>
      <c r="K1192" t="s">
        <v>61</v>
      </c>
    </row>
    <row r="1193" spans="1:11">
      <c r="A1193" t="s">
        <v>1771</v>
      </c>
      <c r="B1193" s="1">
        <v>45948</v>
      </c>
      <c r="C1193" t="s">
        <v>243</v>
      </c>
      <c r="D1193" t="s">
        <v>26</v>
      </c>
      <c r="E1193" t="s">
        <v>33</v>
      </c>
      <c r="F1193" t="s">
        <v>31</v>
      </c>
      <c r="G1193">
        <v>1</v>
      </c>
      <c r="H1193" s="2">
        <v>64.34</v>
      </c>
      <c r="I1193" s="3">
        <v>0</v>
      </c>
      <c r="J1193" s="2">
        <v>64.34</v>
      </c>
      <c r="K1193" t="s">
        <v>61</v>
      </c>
    </row>
    <row r="1194" spans="1:11">
      <c r="A1194" t="s">
        <v>1772</v>
      </c>
      <c r="B1194" s="1">
        <v>45883</v>
      </c>
      <c r="C1194" t="s">
        <v>1773</v>
      </c>
      <c r="D1194" t="s">
        <v>26</v>
      </c>
      <c r="E1194" t="s">
        <v>29</v>
      </c>
      <c r="F1194" t="s">
        <v>92</v>
      </c>
      <c r="G1194">
        <v>3</v>
      </c>
      <c r="H1194" s="2">
        <v>48.73</v>
      </c>
      <c r="I1194" s="3">
        <v>0</v>
      </c>
      <c r="J1194" s="2">
        <v>146.19</v>
      </c>
      <c r="K1194" t="s">
        <v>79</v>
      </c>
    </row>
    <row r="1195" spans="1:11">
      <c r="A1195" t="s">
        <v>1774</v>
      </c>
      <c r="B1195" s="1">
        <v>45851</v>
      </c>
      <c r="C1195" t="s">
        <v>196</v>
      </c>
      <c r="D1195" t="s">
        <v>30</v>
      </c>
      <c r="E1195" t="s">
        <v>17</v>
      </c>
      <c r="F1195" t="s">
        <v>23</v>
      </c>
      <c r="G1195">
        <v>1</v>
      </c>
      <c r="H1195" s="2">
        <v>124.22</v>
      </c>
      <c r="I1195" s="3">
        <v>0.15</v>
      </c>
      <c r="J1195" s="2">
        <v>105.59</v>
      </c>
      <c r="K1195" t="s">
        <v>61</v>
      </c>
    </row>
    <row r="1196" spans="1:11">
      <c r="A1196" t="s">
        <v>1775</v>
      </c>
      <c r="B1196" s="1">
        <v>46002</v>
      </c>
      <c r="C1196" t="s">
        <v>785</v>
      </c>
      <c r="D1196" t="s">
        <v>18</v>
      </c>
      <c r="E1196" t="s">
        <v>17</v>
      </c>
      <c r="F1196" t="s">
        <v>23</v>
      </c>
      <c r="G1196">
        <v>1</v>
      </c>
      <c r="H1196" s="2">
        <v>120.98</v>
      </c>
      <c r="I1196" s="3">
        <v>0</v>
      </c>
      <c r="J1196" s="2">
        <v>120.98</v>
      </c>
      <c r="K1196" t="s">
        <v>79</v>
      </c>
    </row>
    <row r="1197" spans="1:11">
      <c r="A1197" t="s">
        <v>1776</v>
      </c>
      <c r="B1197" s="1">
        <v>45766</v>
      </c>
      <c r="C1197" t="s">
        <v>1329</v>
      </c>
      <c r="D1197" t="s">
        <v>30</v>
      </c>
      <c r="E1197" t="s">
        <v>21</v>
      </c>
      <c r="F1197" t="s">
        <v>71</v>
      </c>
      <c r="G1197">
        <v>2</v>
      </c>
      <c r="H1197" s="2">
        <v>67.2</v>
      </c>
      <c r="I1197" s="3">
        <v>0.15</v>
      </c>
      <c r="J1197" s="2">
        <v>114.24</v>
      </c>
      <c r="K1197" t="s">
        <v>61</v>
      </c>
    </row>
    <row r="1198" spans="1:11">
      <c r="A1198" t="s">
        <v>1777</v>
      </c>
      <c r="B1198" s="1">
        <v>45830</v>
      </c>
      <c r="C1198" t="s">
        <v>1778</v>
      </c>
      <c r="D1198" t="s">
        <v>22</v>
      </c>
      <c r="E1198" t="s">
        <v>29</v>
      </c>
      <c r="F1198" t="s">
        <v>68</v>
      </c>
      <c r="G1198">
        <v>1</v>
      </c>
      <c r="H1198" s="2">
        <v>43.76</v>
      </c>
      <c r="I1198" s="3">
        <v>0.05</v>
      </c>
      <c r="J1198" s="2">
        <v>41.57</v>
      </c>
      <c r="K1198" t="s">
        <v>61</v>
      </c>
    </row>
    <row r="1199" spans="1:11">
      <c r="A1199" t="s">
        <v>1779</v>
      </c>
      <c r="B1199" s="1">
        <v>45998</v>
      </c>
      <c r="C1199" t="s">
        <v>112</v>
      </c>
      <c r="D1199" t="s">
        <v>18</v>
      </c>
      <c r="E1199" t="s">
        <v>25</v>
      </c>
      <c r="F1199" t="s">
        <v>38</v>
      </c>
      <c r="G1199">
        <v>1</v>
      </c>
      <c r="H1199" s="2">
        <v>103.4</v>
      </c>
      <c r="I1199" s="3">
        <v>0.05</v>
      </c>
      <c r="J1199" s="2">
        <v>98.23</v>
      </c>
      <c r="K1199" t="s">
        <v>79</v>
      </c>
    </row>
    <row r="1200" spans="1:11">
      <c r="A1200" t="s">
        <v>1780</v>
      </c>
      <c r="B1200" s="1">
        <v>45891</v>
      </c>
      <c r="C1200" t="s">
        <v>1667</v>
      </c>
      <c r="D1200" t="s">
        <v>18</v>
      </c>
      <c r="E1200" t="s">
        <v>25</v>
      </c>
      <c r="F1200" t="s">
        <v>78</v>
      </c>
      <c r="G1200">
        <v>1</v>
      </c>
      <c r="H1200" s="2">
        <v>43.9</v>
      </c>
      <c r="I1200" s="3">
        <v>0</v>
      </c>
      <c r="J1200" s="2">
        <v>43.9</v>
      </c>
      <c r="K1200" t="s">
        <v>56</v>
      </c>
    </row>
    <row r="1201" spans="1:11">
      <c r="A1201" t="s">
        <v>1781</v>
      </c>
      <c r="B1201" s="1">
        <v>45801</v>
      </c>
      <c r="C1201" t="s">
        <v>635</v>
      </c>
      <c r="D1201" t="s">
        <v>30</v>
      </c>
      <c r="E1201" t="s">
        <v>25</v>
      </c>
      <c r="F1201" t="s">
        <v>78</v>
      </c>
      <c r="G1201">
        <v>2</v>
      </c>
      <c r="H1201" s="2">
        <v>36.35</v>
      </c>
      <c r="I1201" s="3">
        <v>0.1</v>
      </c>
      <c r="J1201" s="2">
        <v>65.430000000000007</v>
      </c>
      <c r="K1201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0"/>
  <sheetViews>
    <sheetView topLeftCell="A575" workbookViewId="0">
      <selection activeCell="B6" sqref="B6"/>
    </sheetView>
  </sheetViews>
  <sheetFormatPr defaultRowHeight="13.8"/>
  <cols>
    <col min="1" max="5" width="18" customWidth="1"/>
    <col min="6" max="6" width="11.19921875" customWidth="1"/>
  </cols>
  <sheetData>
    <row r="1" spans="1:7">
      <c r="A1" s="11">
        <v>45658</v>
      </c>
      <c r="B1" s="12" t="s">
        <v>18</v>
      </c>
      <c r="C1" s="12" t="s">
        <v>17</v>
      </c>
      <c r="D1" s="12" t="s">
        <v>19</v>
      </c>
      <c r="E1" s="12" t="s">
        <v>79</v>
      </c>
      <c r="F1" s="12" t="s">
        <v>1276</v>
      </c>
      <c r="G1" s="12">
        <f>IF(COUNTIF(Data!$C$2:$C$1201,F1)&gt;0,1,0)</f>
        <v>1</v>
      </c>
    </row>
    <row r="2" spans="1:7">
      <c r="A2" s="5">
        <v>45689</v>
      </c>
      <c r="B2" t="s">
        <v>22</v>
      </c>
      <c r="C2" t="s">
        <v>21</v>
      </c>
      <c r="D2" t="s">
        <v>23</v>
      </c>
      <c r="E2" t="s">
        <v>61</v>
      </c>
      <c r="F2" t="s">
        <v>1382</v>
      </c>
      <c r="G2">
        <f>IF(COUNTIF(Data!$C$2:$C$1201,F2)&gt;0,1,0)</f>
        <v>1</v>
      </c>
    </row>
    <row r="3" spans="1:7">
      <c r="A3" s="5">
        <v>45717</v>
      </c>
      <c r="B3" t="s">
        <v>26</v>
      </c>
      <c r="C3" t="s">
        <v>25</v>
      </c>
      <c r="D3" t="s">
        <v>27</v>
      </c>
      <c r="E3" t="s">
        <v>56</v>
      </c>
      <c r="F3" t="s">
        <v>292</v>
      </c>
      <c r="G3">
        <f>IF(COUNTIF(Data!$C$2:$C$1201,F3)&gt;0,1,0)</f>
        <v>1</v>
      </c>
    </row>
    <row r="4" spans="1:7">
      <c r="A4" s="5">
        <v>45748</v>
      </c>
      <c r="B4" t="s">
        <v>30</v>
      </c>
      <c r="C4" t="s">
        <v>29</v>
      </c>
      <c r="D4" t="s">
        <v>31</v>
      </c>
      <c r="F4" t="s">
        <v>589</v>
      </c>
      <c r="G4">
        <f>IF(COUNTIF(Data!$C$2:$C$1201,F4)&gt;0,1,0)</f>
        <v>1</v>
      </c>
    </row>
    <row r="5" spans="1:7">
      <c r="A5" s="5">
        <v>45778</v>
      </c>
      <c r="C5" t="s">
        <v>33</v>
      </c>
      <c r="D5" t="s">
        <v>34</v>
      </c>
      <c r="F5" t="s">
        <v>943</v>
      </c>
      <c r="G5">
        <f>IF(COUNTIF(Data!$C$2:$C$1201,F5)&gt;0,1,0)</f>
        <v>1</v>
      </c>
    </row>
    <row r="6" spans="1:7">
      <c r="A6" s="5">
        <v>45809</v>
      </c>
      <c r="D6" t="s">
        <v>36</v>
      </c>
      <c r="F6" t="s">
        <v>447</v>
      </c>
      <c r="G6">
        <f>IF(COUNTIF(Data!$C$2:$C$1201,F6)&gt;0,1,0)</f>
        <v>1</v>
      </c>
    </row>
    <row r="7" spans="1:7">
      <c r="A7" s="5">
        <v>45839</v>
      </c>
      <c r="D7" t="s">
        <v>38</v>
      </c>
      <c r="F7" t="s">
        <v>378</v>
      </c>
      <c r="G7">
        <f>IF(COUNTIF(Data!$C$2:$C$1201,F7)&gt;0,1,0)</f>
        <v>1</v>
      </c>
    </row>
    <row r="8" spans="1:7">
      <c r="A8" s="5">
        <v>45870</v>
      </c>
      <c r="D8" t="s">
        <v>40</v>
      </c>
      <c r="F8" t="s">
        <v>1649</v>
      </c>
      <c r="G8">
        <f>IF(COUNTIF(Data!$C$2:$C$1201,F8)&gt;0,1,0)</f>
        <v>1</v>
      </c>
    </row>
    <row r="9" spans="1:7">
      <c r="A9" s="5">
        <v>45901</v>
      </c>
      <c r="D9" t="s">
        <v>71</v>
      </c>
      <c r="F9" t="s">
        <v>1782</v>
      </c>
      <c r="G9">
        <f>IF(COUNTIF(Data!$C$2:$C$1201,F9)&gt;0,1,0)</f>
        <v>0</v>
      </c>
    </row>
    <row r="10" spans="1:7">
      <c r="A10" s="5">
        <v>45931</v>
      </c>
      <c r="D10" t="s">
        <v>68</v>
      </c>
      <c r="F10" t="s">
        <v>907</v>
      </c>
      <c r="G10">
        <f>IF(COUNTIF(Data!$C$2:$C$1201,F10)&gt;0,1,0)</f>
        <v>1</v>
      </c>
    </row>
    <row r="11" spans="1:7">
      <c r="A11" s="5">
        <v>45962</v>
      </c>
      <c r="D11" t="s">
        <v>92</v>
      </c>
      <c r="F11" t="s">
        <v>1095</v>
      </c>
      <c r="G11">
        <f>IF(COUNTIF(Data!$C$2:$C$1201,F11)&gt;0,1,0)</f>
        <v>1</v>
      </c>
    </row>
    <row r="12" spans="1:7">
      <c r="A12" s="5">
        <v>45992</v>
      </c>
      <c r="D12" t="s">
        <v>78</v>
      </c>
      <c r="F12" t="s">
        <v>1232</v>
      </c>
      <c r="G12">
        <f>IF(COUNTIF(Data!$C$2:$C$1201,F12)&gt;0,1,0)</f>
        <v>1</v>
      </c>
    </row>
    <row r="13" spans="1:7">
      <c r="F13" t="s">
        <v>224</v>
      </c>
      <c r="G13">
        <f>IF(COUNTIF(Data!$C$2:$C$1201,F13)&gt;0,1,0)</f>
        <v>1</v>
      </c>
    </row>
    <row r="14" spans="1:7">
      <c r="F14" t="s">
        <v>1783</v>
      </c>
      <c r="G14">
        <f>IF(COUNTIF(Data!$C$2:$C$1201,F14)&gt;0,1,0)</f>
        <v>0</v>
      </c>
    </row>
    <row r="15" spans="1:7">
      <c r="F15" t="s">
        <v>1784</v>
      </c>
      <c r="G15">
        <f>IF(COUNTIF(Data!$C$2:$C$1201,F15)&gt;0,1,0)</f>
        <v>0</v>
      </c>
    </row>
    <row r="16" spans="1:7">
      <c r="F16" t="s">
        <v>1736</v>
      </c>
      <c r="G16">
        <f>IF(COUNTIF(Data!$C$2:$C$1201,F16)&gt;0,1,0)</f>
        <v>1</v>
      </c>
    </row>
    <row r="17" spans="6:7">
      <c r="F17" t="s">
        <v>458</v>
      </c>
      <c r="G17">
        <f>IF(COUNTIF(Data!$C$2:$C$1201,F17)&gt;0,1,0)</f>
        <v>1</v>
      </c>
    </row>
    <row r="18" spans="6:7">
      <c r="F18" t="s">
        <v>1785</v>
      </c>
      <c r="G18">
        <f>IF(COUNTIF(Data!$C$2:$C$1201,F18)&gt;0,1,0)</f>
        <v>0</v>
      </c>
    </row>
    <row r="19" spans="6:7">
      <c r="F19" t="s">
        <v>1174</v>
      </c>
      <c r="G19">
        <f>IF(COUNTIF(Data!$C$2:$C$1201,F19)&gt;0,1,0)</f>
        <v>1</v>
      </c>
    </row>
    <row r="20" spans="6:7">
      <c r="F20" t="s">
        <v>901</v>
      </c>
      <c r="G20">
        <f>IF(COUNTIF(Data!$C$2:$C$1201,F20)&gt;0,1,0)</f>
        <v>1</v>
      </c>
    </row>
    <row r="21" spans="6:7">
      <c r="F21" t="s">
        <v>804</v>
      </c>
      <c r="G21">
        <f>IF(COUNTIF(Data!$C$2:$C$1201,F21)&gt;0,1,0)</f>
        <v>1</v>
      </c>
    </row>
    <row r="22" spans="6:7">
      <c r="F22" t="s">
        <v>397</v>
      </c>
      <c r="G22">
        <f>IF(COUNTIF(Data!$C$2:$C$1201,F22)&gt;0,1,0)</f>
        <v>1</v>
      </c>
    </row>
    <row r="23" spans="6:7">
      <c r="F23" t="s">
        <v>320</v>
      </c>
      <c r="G23">
        <f>IF(COUNTIF(Data!$C$2:$C$1201,F23)&gt;0,1,0)</f>
        <v>1</v>
      </c>
    </row>
    <row r="24" spans="6:7">
      <c r="F24" t="s">
        <v>1251</v>
      </c>
      <c r="G24">
        <f>IF(COUNTIF(Data!$C$2:$C$1201,F24)&gt;0,1,0)</f>
        <v>1</v>
      </c>
    </row>
    <row r="25" spans="6:7">
      <c r="F25" t="s">
        <v>162</v>
      </c>
      <c r="G25">
        <f>IF(COUNTIF(Data!$C$2:$C$1201,F25)&gt;0,1,0)</f>
        <v>1</v>
      </c>
    </row>
    <row r="26" spans="6:7">
      <c r="F26" t="s">
        <v>1618</v>
      </c>
      <c r="G26">
        <f>IF(COUNTIF(Data!$C$2:$C$1201,F26)&gt;0,1,0)</f>
        <v>1</v>
      </c>
    </row>
    <row r="27" spans="6:7">
      <c r="F27" t="s">
        <v>1667</v>
      </c>
      <c r="G27">
        <f>IF(COUNTIF(Data!$C$2:$C$1201,F27)&gt;0,1,0)</f>
        <v>1</v>
      </c>
    </row>
    <row r="28" spans="6:7">
      <c r="F28" t="s">
        <v>1297</v>
      </c>
      <c r="G28">
        <f>IF(COUNTIF(Data!$C$2:$C$1201,F28)&gt;0,1,0)</f>
        <v>1</v>
      </c>
    </row>
    <row r="29" spans="6:7">
      <c r="F29" t="s">
        <v>800</v>
      </c>
      <c r="G29">
        <f>IF(COUNTIF(Data!$C$2:$C$1201,F29)&gt;0,1,0)</f>
        <v>1</v>
      </c>
    </row>
    <row r="30" spans="6:7">
      <c r="F30" t="s">
        <v>1235</v>
      </c>
      <c r="G30">
        <f>IF(COUNTIF(Data!$C$2:$C$1201,F30)&gt;0,1,0)</f>
        <v>1</v>
      </c>
    </row>
    <row r="31" spans="6:7">
      <c r="F31" t="s">
        <v>1786</v>
      </c>
      <c r="G31">
        <f>IF(COUNTIF(Data!$C$2:$C$1201,F31)&gt;0,1,0)</f>
        <v>0</v>
      </c>
    </row>
    <row r="32" spans="6:7">
      <c r="F32" t="s">
        <v>1006</v>
      </c>
      <c r="G32">
        <f>IF(COUNTIF(Data!$C$2:$C$1201,F32)&gt;0,1,0)</f>
        <v>1</v>
      </c>
    </row>
    <row r="33" spans="6:7">
      <c r="F33" t="s">
        <v>592</v>
      </c>
      <c r="G33">
        <f>IF(COUNTIF(Data!$C$2:$C$1201,F33)&gt;0,1,0)</f>
        <v>1</v>
      </c>
    </row>
    <row r="34" spans="6:7">
      <c r="F34" t="s">
        <v>340</v>
      </c>
      <c r="G34">
        <f>IF(COUNTIF(Data!$C$2:$C$1201,F34)&gt;0,1,0)</f>
        <v>1</v>
      </c>
    </row>
    <row r="35" spans="6:7">
      <c r="F35" t="s">
        <v>1375</v>
      </c>
      <c r="G35">
        <f>IF(COUNTIF(Data!$C$2:$C$1201,F35)&gt;0,1,0)</f>
        <v>1</v>
      </c>
    </row>
    <row r="36" spans="6:7">
      <c r="F36" t="s">
        <v>1502</v>
      </c>
      <c r="G36">
        <f>IF(COUNTIF(Data!$C$2:$C$1201,F36)&gt;0,1,0)</f>
        <v>1</v>
      </c>
    </row>
    <row r="37" spans="6:7">
      <c r="F37" t="s">
        <v>305</v>
      </c>
      <c r="G37">
        <f>IF(COUNTIF(Data!$C$2:$C$1201,F37)&gt;0,1,0)</f>
        <v>1</v>
      </c>
    </row>
    <row r="38" spans="6:7">
      <c r="F38" t="s">
        <v>1341</v>
      </c>
      <c r="G38">
        <f>IF(COUNTIF(Data!$C$2:$C$1201,F38)&gt;0,1,0)</f>
        <v>1</v>
      </c>
    </row>
    <row r="39" spans="6:7">
      <c r="F39" t="s">
        <v>558</v>
      </c>
      <c r="G39">
        <f>IF(COUNTIF(Data!$C$2:$C$1201,F39)&gt;0,1,0)</f>
        <v>1</v>
      </c>
    </row>
    <row r="40" spans="6:7">
      <c r="F40" t="s">
        <v>445</v>
      </c>
      <c r="G40">
        <f>IF(COUNTIF(Data!$C$2:$C$1201,F40)&gt;0,1,0)</f>
        <v>1</v>
      </c>
    </row>
    <row r="41" spans="6:7">
      <c r="F41" t="s">
        <v>417</v>
      </c>
      <c r="G41">
        <f>IF(COUNTIF(Data!$C$2:$C$1201,F41)&gt;0,1,0)</f>
        <v>1</v>
      </c>
    </row>
    <row r="42" spans="6:7">
      <c r="F42" t="s">
        <v>778</v>
      </c>
      <c r="G42">
        <f>IF(COUNTIF(Data!$C$2:$C$1201,F42)&gt;0,1,0)</f>
        <v>1</v>
      </c>
    </row>
    <row r="43" spans="6:7">
      <c r="F43" t="s">
        <v>1787</v>
      </c>
      <c r="G43">
        <f>IF(COUNTIF(Data!$C$2:$C$1201,F43)&gt;0,1,0)</f>
        <v>0</v>
      </c>
    </row>
    <row r="44" spans="6:7">
      <c r="F44" t="s">
        <v>847</v>
      </c>
      <c r="G44">
        <f>IF(COUNTIF(Data!$C$2:$C$1201,F44)&gt;0,1,0)</f>
        <v>1</v>
      </c>
    </row>
    <row r="45" spans="6:7">
      <c r="F45" t="s">
        <v>975</v>
      </c>
      <c r="G45">
        <f>IF(COUNTIF(Data!$C$2:$C$1201,F45)&gt;0,1,0)</f>
        <v>1</v>
      </c>
    </row>
    <row r="46" spans="6:7">
      <c r="F46" t="s">
        <v>683</v>
      </c>
      <c r="G46">
        <f>IF(COUNTIF(Data!$C$2:$C$1201,F46)&gt;0,1,0)</f>
        <v>1</v>
      </c>
    </row>
    <row r="47" spans="6:7">
      <c r="F47" t="s">
        <v>1348</v>
      </c>
      <c r="G47">
        <f>IF(COUNTIF(Data!$C$2:$C$1201,F47)&gt;0,1,0)</f>
        <v>1</v>
      </c>
    </row>
    <row r="48" spans="6:7">
      <c r="F48" t="s">
        <v>309</v>
      </c>
      <c r="G48">
        <f>IF(COUNTIF(Data!$C$2:$C$1201,F48)&gt;0,1,0)</f>
        <v>1</v>
      </c>
    </row>
    <row r="49" spans="6:7">
      <c r="F49" t="s">
        <v>1599</v>
      </c>
      <c r="G49">
        <f>IF(COUNTIF(Data!$C$2:$C$1201,F49)&gt;0,1,0)</f>
        <v>1</v>
      </c>
    </row>
    <row r="50" spans="6:7">
      <c r="F50" t="s">
        <v>820</v>
      </c>
      <c r="G50">
        <f>IF(COUNTIF(Data!$C$2:$C$1201,F50)&gt;0,1,0)</f>
        <v>1</v>
      </c>
    </row>
    <row r="51" spans="6:7">
      <c r="F51" t="s">
        <v>1220</v>
      </c>
      <c r="G51">
        <f>IF(COUNTIF(Data!$C$2:$C$1201,F51)&gt;0,1,0)</f>
        <v>1</v>
      </c>
    </row>
    <row r="52" spans="6:7">
      <c r="F52" t="s">
        <v>864</v>
      </c>
      <c r="G52">
        <f>IF(COUNTIF(Data!$C$2:$C$1201,F52)&gt;0,1,0)</f>
        <v>1</v>
      </c>
    </row>
    <row r="53" spans="6:7">
      <c r="F53" t="s">
        <v>372</v>
      </c>
      <c r="G53">
        <f>IF(COUNTIF(Data!$C$2:$C$1201,F53)&gt;0,1,0)</f>
        <v>1</v>
      </c>
    </row>
    <row r="54" spans="6:7">
      <c r="F54" t="s">
        <v>553</v>
      </c>
      <c r="G54">
        <f>IF(COUNTIF(Data!$C$2:$C$1201,F54)&gt;0,1,0)</f>
        <v>1</v>
      </c>
    </row>
    <row r="55" spans="6:7">
      <c r="F55" t="s">
        <v>641</v>
      </c>
      <c r="G55">
        <f>IF(COUNTIF(Data!$C$2:$C$1201,F55)&gt;0,1,0)</f>
        <v>1</v>
      </c>
    </row>
    <row r="56" spans="6:7">
      <c r="F56" t="s">
        <v>927</v>
      </c>
      <c r="G56">
        <f>IF(COUNTIF(Data!$C$2:$C$1201,F56)&gt;0,1,0)</f>
        <v>1</v>
      </c>
    </row>
    <row r="57" spans="6:7">
      <c r="F57" t="s">
        <v>1663</v>
      </c>
      <c r="G57">
        <f>IF(COUNTIF(Data!$C$2:$C$1201,F57)&gt;0,1,0)</f>
        <v>1</v>
      </c>
    </row>
    <row r="58" spans="6:7">
      <c r="F58" t="s">
        <v>410</v>
      </c>
      <c r="G58">
        <f>IF(COUNTIF(Data!$C$2:$C$1201,F58)&gt;0,1,0)</f>
        <v>1</v>
      </c>
    </row>
    <row r="59" spans="6:7">
      <c r="F59" t="s">
        <v>1788</v>
      </c>
      <c r="G59">
        <f>IF(COUNTIF(Data!$C$2:$C$1201,F59)&gt;0,1,0)</f>
        <v>0</v>
      </c>
    </row>
    <row r="60" spans="6:7">
      <c r="F60" t="s">
        <v>1226</v>
      </c>
      <c r="G60">
        <f>IF(COUNTIF(Data!$C$2:$C$1201,F60)&gt;0,1,0)</f>
        <v>1</v>
      </c>
    </row>
    <row r="61" spans="6:7">
      <c r="F61" t="s">
        <v>1789</v>
      </c>
      <c r="G61">
        <f>IF(COUNTIF(Data!$C$2:$C$1201,F61)&gt;0,1,0)</f>
        <v>0</v>
      </c>
    </row>
    <row r="62" spans="6:7">
      <c r="F62" t="s">
        <v>1121</v>
      </c>
      <c r="G62">
        <f>IF(COUNTIF(Data!$C$2:$C$1201,F62)&gt;0,1,0)</f>
        <v>1</v>
      </c>
    </row>
    <row r="63" spans="6:7">
      <c r="F63" t="s">
        <v>118</v>
      </c>
      <c r="G63">
        <f>IF(COUNTIF(Data!$C$2:$C$1201,F63)&gt;0,1,0)</f>
        <v>1</v>
      </c>
    </row>
    <row r="64" spans="6:7">
      <c r="F64" t="s">
        <v>783</v>
      </c>
      <c r="G64">
        <f>IF(COUNTIF(Data!$C$2:$C$1201,F64)&gt;0,1,0)</f>
        <v>1</v>
      </c>
    </row>
    <row r="65" spans="6:7">
      <c r="F65" t="s">
        <v>690</v>
      </c>
      <c r="G65">
        <f>IF(COUNTIF(Data!$C$2:$C$1201,F65)&gt;0,1,0)</f>
        <v>1</v>
      </c>
    </row>
    <row r="66" spans="6:7">
      <c r="F66" t="s">
        <v>1790</v>
      </c>
      <c r="G66">
        <f>IF(COUNTIF(Data!$C$2:$C$1201,F66)&gt;0,1,0)</f>
        <v>0</v>
      </c>
    </row>
    <row r="67" spans="6:7">
      <c r="F67" t="s">
        <v>1791</v>
      </c>
      <c r="G67">
        <f>IF(COUNTIF(Data!$C$2:$C$1201,F67)&gt;0,1,0)</f>
        <v>0</v>
      </c>
    </row>
    <row r="68" spans="6:7">
      <c r="F68" t="s">
        <v>421</v>
      </c>
      <c r="G68">
        <f>IF(COUNTIF(Data!$C$2:$C$1201,F68)&gt;0,1,0)</f>
        <v>1</v>
      </c>
    </row>
    <row r="69" spans="6:7">
      <c r="F69" t="s">
        <v>1792</v>
      </c>
      <c r="G69">
        <f>IF(COUNTIF(Data!$C$2:$C$1201,F69)&gt;0,1,0)</f>
        <v>0</v>
      </c>
    </row>
    <row r="70" spans="6:7">
      <c r="F70" t="s">
        <v>622</v>
      </c>
      <c r="G70">
        <f>IF(COUNTIF(Data!$C$2:$C$1201,F70)&gt;0,1,0)</f>
        <v>1</v>
      </c>
    </row>
    <row r="71" spans="6:7">
      <c r="F71" t="s">
        <v>583</v>
      </c>
      <c r="G71">
        <f>IF(COUNTIF(Data!$C$2:$C$1201,F71)&gt;0,1,0)</f>
        <v>1</v>
      </c>
    </row>
    <row r="72" spans="6:7">
      <c r="F72" t="s">
        <v>1749</v>
      </c>
      <c r="G72">
        <f>IF(COUNTIF(Data!$C$2:$C$1201,F72)&gt;0,1,0)</f>
        <v>1</v>
      </c>
    </row>
    <row r="73" spans="6:7">
      <c r="F73" t="s">
        <v>262</v>
      </c>
      <c r="G73">
        <f>IF(COUNTIF(Data!$C$2:$C$1201,F73)&gt;0,1,0)</f>
        <v>1</v>
      </c>
    </row>
    <row r="74" spans="6:7">
      <c r="F74" t="s">
        <v>393</v>
      </c>
      <c r="G74">
        <f>IF(COUNTIF(Data!$C$2:$C$1201,F74)&gt;0,1,0)</f>
        <v>1</v>
      </c>
    </row>
    <row r="75" spans="6:7">
      <c r="F75" t="s">
        <v>184</v>
      </c>
      <c r="G75">
        <f>IF(COUNTIF(Data!$C$2:$C$1201,F75)&gt;0,1,0)</f>
        <v>1</v>
      </c>
    </row>
    <row r="76" spans="6:7">
      <c r="F76" t="s">
        <v>358</v>
      </c>
      <c r="G76">
        <f>IF(COUNTIF(Data!$C$2:$C$1201,F76)&gt;0,1,0)</f>
        <v>1</v>
      </c>
    </row>
    <row r="77" spans="6:7">
      <c r="F77" t="s">
        <v>929</v>
      </c>
      <c r="G77">
        <f>IF(COUNTIF(Data!$C$2:$C$1201,F77)&gt;0,1,0)</f>
        <v>1</v>
      </c>
    </row>
    <row r="78" spans="6:7">
      <c r="F78" t="s">
        <v>1793</v>
      </c>
      <c r="G78">
        <f>IF(COUNTIF(Data!$C$2:$C$1201,F78)&gt;0,1,0)</f>
        <v>0</v>
      </c>
    </row>
    <row r="79" spans="6:7">
      <c r="F79" t="s">
        <v>638</v>
      </c>
      <c r="G79">
        <f>IF(COUNTIF(Data!$C$2:$C$1201,F79)&gt;0,1,0)</f>
        <v>1</v>
      </c>
    </row>
    <row r="80" spans="6:7">
      <c r="F80" t="s">
        <v>730</v>
      </c>
      <c r="G80">
        <f>IF(COUNTIF(Data!$C$2:$C$1201,F80)&gt;0,1,0)</f>
        <v>1</v>
      </c>
    </row>
    <row r="81" spans="6:7">
      <c r="F81" t="s">
        <v>843</v>
      </c>
      <c r="G81">
        <f>IF(COUNTIF(Data!$C$2:$C$1201,F81)&gt;0,1,0)</f>
        <v>1</v>
      </c>
    </row>
    <row r="82" spans="6:7">
      <c r="F82" t="s">
        <v>1773</v>
      </c>
      <c r="G82">
        <f>IF(COUNTIF(Data!$C$2:$C$1201,F82)&gt;0,1,0)</f>
        <v>1</v>
      </c>
    </row>
    <row r="83" spans="6:7">
      <c r="F83" t="s">
        <v>1765</v>
      </c>
      <c r="G83">
        <f>IF(COUNTIF(Data!$C$2:$C$1201,F83)&gt;0,1,0)</f>
        <v>1</v>
      </c>
    </row>
    <row r="84" spans="6:7">
      <c r="F84" t="s">
        <v>1794</v>
      </c>
      <c r="G84">
        <f>IF(COUNTIF(Data!$C$2:$C$1201,F84)&gt;0,1,0)</f>
        <v>0</v>
      </c>
    </row>
    <row r="85" spans="6:7">
      <c r="F85" t="s">
        <v>470</v>
      </c>
      <c r="G85">
        <f>IF(COUNTIF(Data!$C$2:$C$1201,F85)&gt;0,1,0)</f>
        <v>1</v>
      </c>
    </row>
    <row r="86" spans="6:7">
      <c r="F86" t="s">
        <v>1795</v>
      </c>
      <c r="G86">
        <f>IF(COUNTIF(Data!$C$2:$C$1201,F86)&gt;0,1,0)</f>
        <v>0</v>
      </c>
    </row>
    <row r="87" spans="6:7">
      <c r="F87" t="s">
        <v>180</v>
      </c>
      <c r="G87">
        <f>IF(COUNTIF(Data!$C$2:$C$1201,F87)&gt;0,1,0)</f>
        <v>1</v>
      </c>
    </row>
    <row r="88" spans="6:7">
      <c r="F88" t="s">
        <v>839</v>
      </c>
      <c r="G88">
        <f>IF(COUNTIF(Data!$C$2:$C$1201,F88)&gt;0,1,0)</f>
        <v>1</v>
      </c>
    </row>
    <row r="89" spans="6:7">
      <c r="F89" t="s">
        <v>986</v>
      </c>
      <c r="G89">
        <f>IF(COUNTIF(Data!$C$2:$C$1201,F89)&gt;0,1,0)</f>
        <v>1</v>
      </c>
    </row>
    <row r="90" spans="6:7">
      <c r="F90" t="s">
        <v>1249</v>
      </c>
      <c r="G90">
        <f>IF(COUNTIF(Data!$C$2:$C$1201,F90)&gt;0,1,0)</f>
        <v>1</v>
      </c>
    </row>
    <row r="91" spans="6:7">
      <c r="F91" t="s">
        <v>932</v>
      </c>
      <c r="G91">
        <f>IF(COUNTIF(Data!$C$2:$C$1201,F91)&gt;0,1,0)</f>
        <v>1</v>
      </c>
    </row>
    <row r="92" spans="6:7">
      <c r="F92" t="s">
        <v>1166</v>
      </c>
      <c r="G92">
        <f>IF(COUNTIF(Data!$C$2:$C$1201,F92)&gt;0,1,0)</f>
        <v>1</v>
      </c>
    </row>
    <row r="93" spans="6:7">
      <c r="F93" t="s">
        <v>1053</v>
      </c>
      <c r="G93">
        <f>IF(COUNTIF(Data!$C$2:$C$1201,F93)&gt;0,1,0)</f>
        <v>1</v>
      </c>
    </row>
    <row r="94" spans="6:7">
      <c r="F94" t="s">
        <v>344</v>
      </c>
      <c r="G94">
        <f>IF(COUNTIF(Data!$C$2:$C$1201,F94)&gt;0,1,0)</f>
        <v>1</v>
      </c>
    </row>
    <row r="95" spans="6:7">
      <c r="F95" t="s">
        <v>787</v>
      </c>
      <c r="G95">
        <f>IF(COUNTIF(Data!$C$2:$C$1201,F95)&gt;0,1,0)</f>
        <v>1</v>
      </c>
    </row>
    <row r="96" spans="6:7">
      <c r="F96" t="s">
        <v>368</v>
      </c>
      <c r="G96">
        <f>IF(COUNTIF(Data!$C$2:$C$1201,F96)&gt;0,1,0)</f>
        <v>1</v>
      </c>
    </row>
    <row r="97" spans="6:7">
      <c r="F97" t="s">
        <v>1429</v>
      </c>
      <c r="G97">
        <f>IF(COUNTIF(Data!$C$2:$C$1201,F97)&gt;0,1,0)</f>
        <v>1</v>
      </c>
    </row>
    <row r="98" spans="6:7">
      <c r="F98" t="s">
        <v>1155</v>
      </c>
      <c r="G98">
        <f>IF(COUNTIF(Data!$C$2:$C$1201,F98)&gt;0,1,0)</f>
        <v>1</v>
      </c>
    </row>
    <row r="99" spans="6:7">
      <c r="F99" t="s">
        <v>1442</v>
      </c>
      <c r="G99">
        <f>IF(COUNTIF(Data!$C$2:$C$1201,F99)&gt;0,1,0)</f>
        <v>1</v>
      </c>
    </row>
    <row r="100" spans="6:7">
      <c r="F100" t="s">
        <v>1309</v>
      </c>
      <c r="G100">
        <f>IF(COUNTIF(Data!$C$2:$C$1201,F100)&gt;0,1,0)</f>
        <v>1</v>
      </c>
    </row>
    <row r="101" spans="6:7">
      <c r="F101" t="s">
        <v>1311</v>
      </c>
      <c r="G101">
        <f>IF(COUNTIF(Data!$C$2:$C$1201,F101)&gt;0,1,0)</f>
        <v>1</v>
      </c>
    </row>
    <row r="102" spans="6:7">
      <c r="F102" t="s">
        <v>362</v>
      </c>
      <c r="G102">
        <f>IF(COUNTIF(Data!$C$2:$C$1201,F102)&gt;0,1,0)</f>
        <v>1</v>
      </c>
    </row>
    <row r="103" spans="6:7">
      <c r="F103" t="s">
        <v>139</v>
      </c>
      <c r="G103">
        <f>IF(COUNTIF(Data!$C$2:$C$1201,F103)&gt;0,1,0)</f>
        <v>1</v>
      </c>
    </row>
    <row r="104" spans="6:7">
      <c r="F104" t="s">
        <v>1631</v>
      </c>
      <c r="G104">
        <f>IF(COUNTIF(Data!$C$2:$C$1201,F104)&gt;0,1,0)</f>
        <v>1</v>
      </c>
    </row>
    <row r="105" spans="6:7">
      <c r="F105" t="s">
        <v>1106</v>
      </c>
      <c r="G105">
        <f>IF(COUNTIF(Data!$C$2:$C$1201,F105)&gt;0,1,0)</f>
        <v>1</v>
      </c>
    </row>
    <row r="106" spans="6:7">
      <c r="F106" t="s">
        <v>249</v>
      </c>
      <c r="G106">
        <f>IF(COUNTIF(Data!$C$2:$C$1201,F106)&gt;0,1,0)</f>
        <v>1</v>
      </c>
    </row>
    <row r="107" spans="6:7">
      <c r="F107" t="s">
        <v>979</v>
      </c>
      <c r="G107">
        <f>IF(COUNTIF(Data!$C$2:$C$1201,F107)&gt;0,1,0)</f>
        <v>1</v>
      </c>
    </row>
    <row r="108" spans="6:7">
      <c r="F108" t="s">
        <v>275</v>
      </c>
      <c r="G108">
        <f>IF(COUNTIF(Data!$C$2:$C$1201,F108)&gt;0,1,0)</f>
        <v>1</v>
      </c>
    </row>
    <row r="109" spans="6:7">
      <c r="F109" t="s">
        <v>853</v>
      </c>
      <c r="G109">
        <f>IF(COUNTIF(Data!$C$2:$C$1201,F109)&gt;0,1,0)</f>
        <v>1</v>
      </c>
    </row>
    <row r="110" spans="6:7">
      <c r="F110" t="s">
        <v>627</v>
      </c>
      <c r="G110">
        <f>IF(COUNTIF(Data!$C$2:$C$1201,F110)&gt;0,1,0)</f>
        <v>1</v>
      </c>
    </row>
    <row r="111" spans="6:7">
      <c r="F111" t="s">
        <v>1554</v>
      </c>
      <c r="G111">
        <f>IF(COUNTIF(Data!$C$2:$C$1201,F111)&gt;0,1,0)</f>
        <v>1</v>
      </c>
    </row>
    <row r="112" spans="6:7">
      <c r="F112" t="s">
        <v>551</v>
      </c>
      <c r="G112">
        <f>IF(COUNTIF(Data!$C$2:$C$1201,F112)&gt;0,1,0)</f>
        <v>1</v>
      </c>
    </row>
    <row r="113" spans="6:7">
      <c r="F113" t="s">
        <v>89</v>
      </c>
      <c r="G113">
        <f>IF(COUNTIF(Data!$C$2:$C$1201,F113)&gt;0,1,0)</f>
        <v>1</v>
      </c>
    </row>
    <row r="114" spans="6:7">
      <c r="F114" t="s">
        <v>1135</v>
      </c>
      <c r="G114">
        <f>IF(COUNTIF(Data!$C$2:$C$1201,F114)&gt;0,1,0)</f>
        <v>1</v>
      </c>
    </row>
    <row r="115" spans="6:7">
      <c r="F115" t="s">
        <v>574</v>
      </c>
      <c r="G115">
        <f>IF(COUNTIF(Data!$C$2:$C$1201,F115)&gt;0,1,0)</f>
        <v>1</v>
      </c>
    </row>
    <row r="116" spans="6:7">
      <c r="F116" t="s">
        <v>705</v>
      </c>
      <c r="G116">
        <f>IF(COUNTIF(Data!$C$2:$C$1201,F116)&gt;0,1,0)</f>
        <v>1</v>
      </c>
    </row>
    <row r="117" spans="6:7">
      <c r="F117" t="s">
        <v>354</v>
      </c>
      <c r="G117">
        <f>IF(COUNTIF(Data!$C$2:$C$1201,F117)&gt;0,1,0)</f>
        <v>1</v>
      </c>
    </row>
    <row r="118" spans="6:7">
      <c r="F118" t="s">
        <v>264</v>
      </c>
      <c r="G118">
        <f>IF(COUNTIF(Data!$C$2:$C$1201,F118)&gt;0,1,0)</f>
        <v>1</v>
      </c>
    </row>
    <row r="119" spans="6:7">
      <c r="F119" t="s">
        <v>679</v>
      </c>
      <c r="G119">
        <f>IF(COUNTIF(Data!$C$2:$C$1201,F119)&gt;0,1,0)</f>
        <v>1</v>
      </c>
    </row>
    <row r="120" spans="6:7">
      <c r="F120" t="s">
        <v>1528</v>
      </c>
      <c r="G120">
        <f>IF(COUNTIF(Data!$C$2:$C$1201,F120)&gt;0,1,0)</f>
        <v>1</v>
      </c>
    </row>
    <row r="121" spans="6:7">
      <c r="F121" t="s">
        <v>484</v>
      </c>
      <c r="G121">
        <f>IF(COUNTIF(Data!$C$2:$C$1201,F121)&gt;0,1,0)</f>
        <v>1</v>
      </c>
    </row>
    <row r="122" spans="6:7">
      <c r="F122" t="s">
        <v>524</v>
      </c>
      <c r="G122">
        <f>IF(COUNTIF(Data!$C$2:$C$1201,F122)&gt;0,1,0)</f>
        <v>1</v>
      </c>
    </row>
    <row r="123" spans="6:7">
      <c r="F123" t="s">
        <v>1117</v>
      </c>
      <c r="G123">
        <f>IF(COUNTIF(Data!$C$2:$C$1201,F123)&gt;0,1,0)</f>
        <v>1</v>
      </c>
    </row>
    <row r="124" spans="6:7">
      <c r="F124" t="s">
        <v>222</v>
      </c>
      <c r="G124">
        <f>IF(COUNTIF(Data!$C$2:$C$1201,F124)&gt;0,1,0)</f>
        <v>1</v>
      </c>
    </row>
    <row r="125" spans="6:7">
      <c r="F125" t="s">
        <v>1332</v>
      </c>
      <c r="G125">
        <f>IF(COUNTIF(Data!$C$2:$C$1201,F125)&gt;0,1,0)</f>
        <v>1</v>
      </c>
    </row>
    <row r="126" spans="6:7">
      <c r="F126" t="s">
        <v>1114</v>
      </c>
      <c r="G126">
        <f>IF(COUNTIF(Data!$C$2:$C$1201,F126)&gt;0,1,0)</f>
        <v>1</v>
      </c>
    </row>
    <row r="127" spans="6:7">
      <c r="F127" t="s">
        <v>866</v>
      </c>
      <c r="G127">
        <f>IF(COUNTIF(Data!$C$2:$C$1201,F127)&gt;0,1,0)</f>
        <v>1</v>
      </c>
    </row>
    <row r="128" spans="6:7">
      <c r="F128" t="s">
        <v>1421</v>
      </c>
      <c r="G128">
        <f>IF(COUNTIF(Data!$C$2:$C$1201,F128)&gt;0,1,0)</f>
        <v>1</v>
      </c>
    </row>
    <row r="129" spans="6:7">
      <c r="F129" t="s">
        <v>1796</v>
      </c>
      <c r="G129">
        <f>IF(COUNTIF(Data!$C$2:$C$1201,F129)&gt;0,1,0)</f>
        <v>0</v>
      </c>
    </row>
    <row r="130" spans="6:7">
      <c r="F130" t="s">
        <v>247</v>
      </c>
      <c r="G130">
        <f>IF(COUNTIF(Data!$C$2:$C$1201,F130)&gt;0,1,0)</f>
        <v>1</v>
      </c>
    </row>
    <row r="131" spans="6:7">
      <c r="F131" t="s">
        <v>1797</v>
      </c>
      <c r="G131">
        <f>IF(COUNTIF(Data!$C$2:$C$1201,F131)&gt;0,1,0)</f>
        <v>0</v>
      </c>
    </row>
    <row r="132" spans="6:7">
      <c r="F132" t="s">
        <v>1438</v>
      </c>
      <c r="G132">
        <f>IF(COUNTIF(Data!$C$2:$C$1201,F132)&gt;0,1,0)</f>
        <v>1</v>
      </c>
    </row>
    <row r="133" spans="6:7">
      <c r="F133" t="s">
        <v>425</v>
      </c>
      <c r="G133">
        <f>IF(COUNTIF(Data!$C$2:$C$1201,F133)&gt;0,1,0)</f>
        <v>1</v>
      </c>
    </row>
    <row r="134" spans="6:7">
      <c r="F134" t="s">
        <v>350</v>
      </c>
      <c r="G134">
        <f>IF(COUNTIF(Data!$C$2:$C$1201,F134)&gt;0,1,0)</f>
        <v>1</v>
      </c>
    </row>
    <row r="135" spans="6:7">
      <c r="F135" t="s">
        <v>137</v>
      </c>
      <c r="G135">
        <f>IF(COUNTIF(Data!$C$2:$C$1201,F135)&gt;0,1,0)</f>
        <v>1</v>
      </c>
    </row>
    <row r="136" spans="6:7">
      <c r="F136" t="s">
        <v>921</v>
      </c>
      <c r="G136">
        <f>IF(COUNTIF(Data!$C$2:$C$1201,F136)&gt;0,1,0)</f>
        <v>1</v>
      </c>
    </row>
    <row r="137" spans="6:7">
      <c r="F137" t="s">
        <v>587</v>
      </c>
      <c r="G137">
        <f>IF(COUNTIF(Data!$C$2:$C$1201,F137)&gt;0,1,0)</f>
        <v>1</v>
      </c>
    </row>
    <row r="138" spans="6:7">
      <c r="F138" t="s">
        <v>1002</v>
      </c>
      <c r="G138">
        <f>IF(COUNTIF(Data!$C$2:$C$1201,F138)&gt;0,1,0)</f>
        <v>1</v>
      </c>
    </row>
    <row r="139" spans="6:7">
      <c r="F139" t="s">
        <v>660</v>
      </c>
      <c r="G139">
        <f>IF(COUNTIF(Data!$C$2:$C$1201,F139)&gt;0,1,0)</f>
        <v>1</v>
      </c>
    </row>
    <row r="140" spans="6:7">
      <c r="F140" t="s">
        <v>1102</v>
      </c>
      <c r="G140">
        <f>IF(COUNTIF(Data!$C$2:$C$1201,F140)&gt;0,1,0)</f>
        <v>1</v>
      </c>
    </row>
    <row r="141" spans="6:7">
      <c r="F141" t="s">
        <v>324</v>
      </c>
      <c r="G141">
        <f>IF(COUNTIF(Data!$C$2:$C$1201,F141)&gt;0,1,0)</f>
        <v>1</v>
      </c>
    </row>
    <row r="142" spans="6:7">
      <c r="F142" t="s">
        <v>1188</v>
      </c>
      <c r="G142">
        <f>IF(COUNTIF(Data!$C$2:$C$1201,F142)&gt;0,1,0)</f>
        <v>1</v>
      </c>
    </row>
    <row r="143" spans="6:7">
      <c r="F143" t="s">
        <v>55</v>
      </c>
      <c r="G143">
        <f>IF(COUNTIF(Data!$C$2:$C$1201,F143)&gt;0,1,0)</f>
        <v>1</v>
      </c>
    </row>
    <row r="144" spans="6:7">
      <c r="F144" t="s">
        <v>120</v>
      </c>
      <c r="G144">
        <f>IF(COUNTIF(Data!$C$2:$C$1201,F144)&gt;0,1,0)</f>
        <v>1</v>
      </c>
    </row>
    <row r="145" spans="6:7">
      <c r="F145" t="s">
        <v>1798</v>
      </c>
      <c r="G145">
        <f>IF(COUNTIF(Data!$C$2:$C$1201,F145)&gt;0,1,0)</f>
        <v>0</v>
      </c>
    </row>
    <row r="146" spans="6:7">
      <c r="F146" t="s">
        <v>1799</v>
      </c>
      <c r="G146">
        <f>IF(COUNTIF(Data!$C$2:$C$1201,F146)&gt;0,1,0)</f>
        <v>0</v>
      </c>
    </row>
    <row r="147" spans="6:7">
      <c r="F147" t="s">
        <v>85</v>
      </c>
      <c r="G147">
        <f>IF(COUNTIF(Data!$C$2:$C$1201,F147)&gt;0,1,0)</f>
        <v>1</v>
      </c>
    </row>
    <row r="148" spans="6:7">
      <c r="F148" t="s">
        <v>526</v>
      </c>
      <c r="G148">
        <f>IF(COUNTIF(Data!$C$2:$C$1201,F148)&gt;0,1,0)</f>
        <v>1</v>
      </c>
    </row>
    <row r="149" spans="6:7">
      <c r="F149" t="s">
        <v>1800</v>
      </c>
      <c r="G149">
        <f>IF(COUNTIF(Data!$C$2:$C$1201,F149)&gt;0,1,0)</f>
        <v>0</v>
      </c>
    </row>
    <row r="150" spans="6:7">
      <c r="F150" t="s">
        <v>548</v>
      </c>
      <c r="G150">
        <f>IF(COUNTIF(Data!$C$2:$C$1201,F150)&gt;0,1,0)</f>
        <v>1</v>
      </c>
    </row>
    <row r="151" spans="6:7">
      <c r="F151" t="s">
        <v>845</v>
      </c>
      <c r="G151">
        <f>IF(COUNTIF(Data!$C$2:$C$1201,F151)&gt;0,1,0)</f>
        <v>1</v>
      </c>
    </row>
    <row r="152" spans="6:7">
      <c r="F152" t="s">
        <v>1403</v>
      </c>
      <c r="G152">
        <f>IF(COUNTIF(Data!$C$2:$C$1201,F152)&gt;0,1,0)</f>
        <v>1</v>
      </c>
    </row>
    <row r="153" spans="6:7">
      <c r="F153" t="s">
        <v>1534</v>
      </c>
      <c r="G153">
        <f>IF(COUNTIF(Data!$C$2:$C$1201,F153)&gt;0,1,0)</f>
        <v>1</v>
      </c>
    </row>
    <row r="154" spans="6:7">
      <c r="F154" t="s">
        <v>423</v>
      </c>
      <c r="G154">
        <f>IF(COUNTIF(Data!$C$2:$C$1201,F154)&gt;0,1,0)</f>
        <v>1</v>
      </c>
    </row>
    <row r="155" spans="6:7">
      <c r="F155" t="s">
        <v>408</v>
      </c>
      <c r="G155">
        <f>IF(COUNTIF(Data!$C$2:$C$1201,F155)&gt;0,1,0)</f>
        <v>1</v>
      </c>
    </row>
    <row r="156" spans="6:7">
      <c r="F156" t="s">
        <v>253</v>
      </c>
      <c r="G156">
        <f>IF(COUNTIF(Data!$C$2:$C$1201,F156)&gt;0,1,0)</f>
        <v>1</v>
      </c>
    </row>
    <row r="157" spans="6:7">
      <c r="F157" t="s">
        <v>198</v>
      </c>
      <c r="G157">
        <f>IF(COUNTIF(Data!$C$2:$C$1201,F157)&gt;0,1,0)</f>
        <v>1</v>
      </c>
    </row>
    <row r="158" spans="6:7">
      <c r="F158" t="s">
        <v>981</v>
      </c>
      <c r="G158">
        <f>IF(COUNTIF(Data!$C$2:$C$1201,F158)&gt;0,1,0)</f>
        <v>1</v>
      </c>
    </row>
    <row r="159" spans="6:7">
      <c r="F159" t="s">
        <v>1119</v>
      </c>
      <c r="G159">
        <f>IF(COUNTIF(Data!$C$2:$C$1201,F159)&gt;0,1,0)</f>
        <v>1</v>
      </c>
    </row>
    <row r="160" spans="6:7">
      <c r="F160" t="s">
        <v>774</v>
      </c>
      <c r="G160">
        <f>IF(COUNTIF(Data!$C$2:$C$1201,F160)&gt;0,1,0)</f>
        <v>1</v>
      </c>
    </row>
    <row r="161" spans="6:7">
      <c r="F161" t="s">
        <v>258</v>
      </c>
      <c r="G161">
        <f>IF(COUNTIF(Data!$C$2:$C$1201,F161)&gt;0,1,0)</f>
        <v>1</v>
      </c>
    </row>
    <row r="162" spans="6:7">
      <c r="F162" t="s">
        <v>131</v>
      </c>
      <c r="G162">
        <f>IF(COUNTIF(Data!$C$2:$C$1201,F162)&gt;0,1,0)</f>
        <v>1</v>
      </c>
    </row>
    <row r="163" spans="6:7">
      <c r="F163" t="s">
        <v>892</v>
      </c>
      <c r="G163">
        <f>IF(COUNTIF(Data!$C$2:$C$1201,F163)&gt;0,1,0)</f>
        <v>1</v>
      </c>
    </row>
    <row r="164" spans="6:7">
      <c r="F164" t="s">
        <v>477</v>
      </c>
      <c r="G164">
        <f>IF(COUNTIF(Data!$C$2:$C$1201,F164)&gt;0,1,0)</f>
        <v>1</v>
      </c>
    </row>
    <row r="165" spans="6:7">
      <c r="F165" t="s">
        <v>1129</v>
      </c>
      <c r="G165">
        <f>IF(COUNTIF(Data!$C$2:$C$1201,F165)&gt;0,1,0)</f>
        <v>1</v>
      </c>
    </row>
    <row r="166" spans="6:7">
      <c r="F166" t="s">
        <v>150</v>
      </c>
      <c r="G166">
        <f>IF(COUNTIF(Data!$C$2:$C$1201,F166)&gt;0,1,0)</f>
        <v>1</v>
      </c>
    </row>
    <row r="167" spans="6:7">
      <c r="F167" t="s">
        <v>562</v>
      </c>
      <c r="G167">
        <f>IF(COUNTIF(Data!$C$2:$C$1201,F167)&gt;0,1,0)</f>
        <v>1</v>
      </c>
    </row>
    <row r="168" spans="6:7">
      <c r="F168" t="s">
        <v>1801</v>
      </c>
      <c r="G168">
        <f>IF(COUNTIF(Data!$C$2:$C$1201,F168)&gt;0,1,0)</f>
        <v>0</v>
      </c>
    </row>
    <row r="169" spans="6:7">
      <c r="F169" t="s">
        <v>1467</v>
      </c>
      <c r="G169">
        <f>IF(COUNTIF(Data!$C$2:$C$1201,F169)&gt;0,1,0)</f>
        <v>1</v>
      </c>
    </row>
    <row r="170" spans="6:7">
      <c r="F170" t="s">
        <v>1011</v>
      </c>
      <c r="G170">
        <f>IF(COUNTIF(Data!$C$2:$C$1201,F170)&gt;0,1,0)</f>
        <v>1</v>
      </c>
    </row>
    <row r="171" spans="6:7">
      <c r="F171" t="s">
        <v>124</v>
      </c>
      <c r="G171">
        <f>IF(COUNTIF(Data!$C$2:$C$1201,F171)&gt;0,1,0)</f>
        <v>1</v>
      </c>
    </row>
    <row r="172" spans="6:7">
      <c r="F172" t="s">
        <v>702</v>
      </c>
      <c r="G172">
        <f>IF(COUNTIF(Data!$C$2:$C$1201,F172)&gt;0,1,0)</f>
        <v>1</v>
      </c>
    </row>
    <row r="173" spans="6:7">
      <c r="F173" t="s">
        <v>1455</v>
      </c>
      <c r="G173">
        <f>IF(COUNTIF(Data!$C$2:$C$1201,F173)&gt;0,1,0)</f>
        <v>1</v>
      </c>
    </row>
    <row r="174" spans="6:7">
      <c r="F174" t="s">
        <v>1802</v>
      </c>
      <c r="G174">
        <f>IF(COUNTIF(Data!$C$2:$C$1201,F174)&gt;0,1,0)</f>
        <v>0</v>
      </c>
    </row>
    <row r="175" spans="6:7">
      <c r="F175" t="s">
        <v>536</v>
      </c>
      <c r="G175">
        <f>IF(COUNTIF(Data!$C$2:$C$1201,F175)&gt;0,1,0)</f>
        <v>1</v>
      </c>
    </row>
    <row r="176" spans="6:7">
      <c r="F176" t="s">
        <v>77</v>
      </c>
      <c r="G176">
        <f>IF(COUNTIF(Data!$C$2:$C$1201,F176)&gt;0,1,0)</f>
        <v>1</v>
      </c>
    </row>
    <row r="177" spans="6:7">
      <c r="F177" t="s">
        <v>1803</v>
      </c>
      <c r="G177">
        <f>IF(COUNTIF(Data!$C$2:$C$1201,F177)&gt;0,1,0)</f>
        <v>0</v>
      </c>
    </row>
    <row r="178" spans="6:7">
      <c r="F178" t="s">
        <v>405</v>
      </c>
      <c r="G178">
        <f>IF(COUNTIF(Data!$C$2:$C$1201,F178)&gt;0,1,0)</f>
        <v>1</v>
      </c>
    </row>
    <row r="179" spans="6:7">
      <c r="F179" t="s">
        <v>490</v>
      </c>
      <c r="G179">
        <f>IF(COUNTIF(Data!$C$2:$C$1201,F179)&gt;0,1,0)</f>
        <v>1</v>
      </c>
    </row>
    <row r="180" spans="6:7">
      <c r="F180" t="s">
        <v>391</v>
      </c>
      <c r="G180">
        <f>IF(COUNTIF(Data!$C$2:$C$1201,F180)&gt;0,1,0)</f>
        <v>1</v>
      </c>
    </row>
    <row r="181" spans="6:7">
      <c r="F181" t="s">
        <v>1273</v>
      </c>
      <c r="G181">
        <f>IF(COUNTIF(Data!$C$2:$C$1201,F181)&gt;0,1,0)</f>
        <v>1</v>
      </c>
    </row>
    <row r="182" spans="6:7">
      <c r="F182" t="s">
        <v>1727</v>
      </c>
      <c r="G182">
        <f>IF(COUNTIF(Data!$C$2:$C$1201,F182)&gt;0,1,0)</f>
        <v>1</v>
      </c>
    </row>
    <row r="183" spans="6:7">
      <c r="F183" t="s">
        <v>166</v>
      </c>
      <c r="G183">
        <f>IF(COUNTIF(Data!$C$2:$C$1201,F183)&gt;0,1,0)</f>
        <v>1</v>
      </c>
    </row>
    <row r="184" spans="6:7">
      <c r="F184" t="s">
        <v>757</v>
      </c>
      <c r="G184">
        <f>IF(COUNTIF(Data!$C$2:$C$1201,F184)&gt;0,1,0)</f>
        <v>1</v>
      </c>
    </row>
    <row r="185" spans="6:7">
      <c r="F185" t="s">
        <v>428</v>
      </c>
      <c r="G185">
        <f>IF(COUNTIF(Data!$C$2:$C$1201,F185)&gt;0,1,0)</f>
        <v>1</v>
      </c>
    </row>
    <row r="186" spans="6:7">
      <c r="F186" t="s">
        <v>995</v>
      </c>
      <c r="G186">
        <f>IF(COUNTIF(Data!$C$2:$C$1201,F186)&gt;0,1,0)</f>
        <v>1</v>
      </c>
    </row>
    <row r="187" spans="6:7">
      <c r="F187" t="s">
        <v>1804</v>
      </c>
      <c r="G187">
        <f>IF(COUNTIF(Data!$C$2:$C$1201,F187)&gt;0,1,0)</f>
        <v>0</v>
      </c>
    </row>
    <row r="188" spans="6:7">
      <c r="F188" t="s">
        <v>1805</v>
      </c>
      <c r="G188">
        <f>IF(COUNTIF(Data!$C$2:$C$1201,F188)&gt;0,1,0)</f>
        <v>0</v>
      </c>
    </row>
    <row r="189" spans="6:7">
      <c r="F189" t="s">
        <v>1806</v>
      </c>
      <c r="G189">
        <f>IF(COUNTIF(Data!$C$2:$C$1201,F189)&gt;0,1,0)</f>
        <v>0</v>
      </c>
    </row>
    <row r="190" spans="6:7">
      <c r="F190" t="s">
        <v>1320</v>
      </c>
      <c r="G190">
        <f>IF(COUNTIF(Data!$C$2:$C$1201,F190)&gt;0,1,0)</f>
        <v>1</v>
      </c>
    </row>
    <row r="191" spans="6:7">
      <c r="F191" t="s">
        <v>1807</v>
      </c>
      <c r="G191">
        <f>IF(COUNTIF(Data!$C$2:$C$1201,F191)&gt;0,1,0)</f>
        <v>0</v>
      </c>
    </row>
    <row r="192" spans="6:7">
      <c r="F192" t="s">
        <v>455</v>
      </c>
      <c r="G192">
        <f>IF(COUNTIF(Data!$C$2:$C$1201,F192)&gt;0,1,0)</f>
        <v>1</v>
      </c>
    </row>
    <row r="193" spans="6:7">
      <c r="F193" t="s">
        <v>860</v>
      </c>
      <c r="G193">
        <f>IF(COUNTIF(Data!$C$2:$C$1201,F193)&gt;0,1,0)</f>
        <v>1</v>
      </c>
    </row>
    <row r="194" spans="6:7">
      <c r="F194" t="s">
        <v>296</v>
      </c>
      <c r="G194">
        <f>IF(COUNTIF(Data!$C$2:$C$1201,F194)&gt;0,1,0)</f>
        <v>1</v>
      </c>
    </row>
    <row r="195" spans="6:7">
      <c r="F195" t="s">
        <v>608</v>
      </c>
      <c r="G195">
        <f>IF(COUNTIF(Data!$C$2:$C$1201,F195)&gt;0,1,0)</f>
        <v>1</v>
      </c>
    </row>
    <row r="196" spans="6:7">
      <c r="F196" t="s">
        <v>538</v>
      </c>
      <c r="G196">
        <f>IF(COUNTIF(Data!$C$2:$C$1201,F196)&gt;0,1,0)</f>
        <v>1</v>
      </c>
    </row>
    <row r="197" spans="6:7">
      <c r="F197" t="s">
        <v>243</v>
      </c>
      <c r="G197">
        <f>IF(COUNTIF(Data!$C$2:$C$1201,F197)&gt;0,1,0)</f>
        <v>1</v>
      </c>
    </row>
    <row r="198" spans="6:7">
      <c r="F198" t="s">
        <v>1125</v>
      </c>
      <c r="G198">
        <f>IF(COUNTIF(Data!$C$2:$C$1201,F198)&gt;0,1,0)</f>
        <v>1</v>
      </c>
    </row>
    <row r="199" spans="6:7">
      <c r="F199" t="s">
        <v>403</v>
      </c>
      <c r="G199">
        <f>IF(COUNTIF(Data!$C$2:$C$1201,F199)&gt;0,1,0)</f>
        <v>1</v>
      </c>
    </row>
    <row r="200" spans="6:7">
      <c r="F200" t="s">
        <v>1313</v>
      </c>
      <c r="G200">
        <f>IF(COUNTIF(Data!$C$2:$C$1201,F200)&gt;0,1,0)</f>
        <v>1</v>
      </c>
    </row>
    <row r="201" spans="6:7">
      <c r="F201" t="s">
        <v>1164</v>
      </c>
      <c r="G201">
        <f>IF(COUNTIF(Data!$C$2:$C$1201,F201)&gt;0,1,0)</f>
        <v>1</v>
      </c>
    </row>
    <row r="202" spans="6:7">
      <c r="F202" t="s">
        <v>962</v>
      </c>
      <c r="G202">
        <f>IF(COUNTIF(Data!$C$2:$C$1201,F202)&gt;0,1,0)</f>
        <v>1</v>
      </c>
    </row>
    <row r="203" spans="6:7">
      <c r="F203" t="s">
        <v>688</v>
      </c>
      <c r="G203">
        <f>IF(COUNTIF(Data!$C$2:$C$1201,F203)&gt;0,1,0)</f>
        <v>1</v>
      </c>
    </row>
    <row r="204" spans="6:7">
      <c r="F204" t="s">
        <v>98</v>
      </c>
      <c r="G204">
        <f>IF(COUNTIF(Data!$C$2:$C$1201,F204)&gt;0,1,0)</f>
        <v>1</v>
      </c>
    </row>
    <row r="205" spans="6:7">
      <c r="F205" t="s">
        <v>486</v>
      </c>
      <c r="G205">
        <f>IF(COUNTIF(Data!$C$2:$C$1201,F205)&gt;0,1,0)</f>
        <v>1</v>
      </c>
    </row>
    <row r="206" spans="6:7">
      <c r="F206" t="s">
        <v>1176</v>
      </c>
      <c r="G206">
        <f>IF(COUNTIF(Data!$C$2:$C$1201,F206)&gt;0,1,0)</f>
        <v>1</v>
      </c>
    </row>
    <row r="207" spans="6:7">
      <c r="F207" t="s">
        <v>464</v>
      </c>
      <c r="G207">
        <f>IF(COUNTIF(Data!$C$2:$C$1201,F207)&gt;0,1,0)</f>
        <v>1</v>
      </c>
    </row>
    <row r="208" spans="6:7">
      <c r="F208" t="s">
        <v>725</v>
      </c>
      <c r="G208">
        <f>IF(COUNTIF(Data!$C$2:$C$1201,F208)&gt;0,1,0)</f>
        <v>1</v>
      </c>
    </row>
    <row r="209" spans="6:7">
      <c r="F209" t="s">
        <v>147</v>
      </c>
      <c r="G209">
        <f>IF(COUNTIF(Data!$C$2:$C$1201,F209)&gt;0,1,0)</f>
        <v>1</v>
      </c>
    </row>
    <row r="210" spans="6:7">
      <c r="F210" t="s">
        <v>1808</v>
      </c>
      <c r="G210">
        <f>IF(COUNTIF(Data!$C$2:$C$1201,F210)&gt;0,1,0)</f>
        <v>0</v>
      </c>
    </row>
    <row r="211" spans="6:7">
      <c r="F211" t="s">
        <v>1593</v>
      </c>
      <c r="G211">
        <f>IF(COUNTIF(Data!$C$2:$C$1201,F211)&gt;0,1,0)</f>
        <v>1</v>
      </c>
    </row>
    <row r="212" spans="6:7">
      <c r="F212" t="s">
        <v>200</v>
      </c>
      <c r="G212">
        <f>IF(COUNTIF(Data!$C$2:$C$1201,F212)&gt;0,1,0)</f>
        <v>1</v>
      </c>
    </row>
    <row r="213" spans="6:7">
      <c r="F213" t="s">
        <v>776</v>
      </c>
      <c r="G213">
        <f>IF(COUNTIF(Data!$C$2:$C$1201,F213)&gt;0,1,0)</f>
        <v>1</v>
      </c>
    </row>
    <row r="214" spans="6:7">
      <c r="F214" t="s">
        <v>1809</v>
      </c>
      <c r="G214">
        <f>IF(COUNTIF(Data!$C$2:$C$1201,F214)&gt;0,1,0)</f>
        <v>0</v>
      </c>
    </row>
    <row r="215" spans="6:7">
      <c r="F215" t="s">
        <v>667</v>
      </c>
      <c r="G215">
        <f>IF(COUNTIF(Data!$C$2:$C$1201,F215)&gt;0,1,0)</f>
        <v>1</v>
      </c>
    </row>
    <row r="216" spans="6:7">
      <c r="F216" t="s">
        <v>507</v>
      </c>
      <c r="G216">
        <f>IF(COUNTIF(Data!$C$2:$C$1201,F216)&gt;0,1,0)</f>
        <v>1</v>
      </c>
    </row>
    <row r="217" spans="6:7">
      <c r="F217" t="s">
        <v>83</v>
      </c>
      <c r="G217">
        <f>IF(COUNTIF(Data!$C$2:$C$1201,F217)&gt;0,1,0)</f>
        <v>1</v>
      </c>
    </row>
    <row r="218" spans="6:7">
      <c r="F218" t="s">
        <v>1636</v>
      </c>
      <c r="G218">
        <f>IF(COUNTIF(Data!$C$2:$C$1201,F218)&gt;0,1,0)</f>
        <v>1</v>
      </c>
    </row>
    <row r="219" spans="6:7">
      <c r="F219" t="s">
        <v>735</v>
      </c>
      <c r="G219">
        <f>IF(COUNTIF(Data!$C$2:$C$1201,F219)&gt;0,1,0)</f>
        <v>1</v>
      </c>
    </row>
    <row r="220" spans="6:7">
      <c r="F220" t="s">
        <v>1810</v>
      </c>
      <c r="G220">
        <f>IF(COUNTIF(Data!$C$2:$C$1201,F220)&gt;0,1,0)</f>
        <v>0</v>
      </c>
    </row>
    <row r="221" spans="6:7">
      <c r="F221" t="s">
        <v>1612</v>
      </c>
      <c r="G221">
        <f>IF(COUNTIF(Data!$C$2:$C$1201,F221)&gt;0,1,0)</f>
        <v>1</v>
      </c>
    </row>
    <row r="222" spans="6:7">
      <c r="F222" t="s">
        <v>348</v>
      </c>
      <c r="G222">
        <f>IF(COUNTIF(Data!$C$2:$C$1201,F222)&gt;0,1,0)</f>
        <v>1</v>
      </c>
    </row>
    <row r="223" spans="6:7">
      <c r="F223" t="s">
        <v>1318</v>
      </c>
      <c r="G223">
        <f>IF(COUNTIF(Data!$C$2:$C$1201,F223)&gt;0,1,0)</f>
        <v>1</v>
      </c>
    </row>
    <row r="224" spans="6:7">
      <c r="F224" t="s">
        <v>58</v>
      </c>
      <c r="G224">
        <f>IF(COUNTIF(Data!$C$2:$C$1201,F224)&gt;0,1,0)</f>
        <v>1</v>
      </c>
    </row>
    <row r="225" spans="6:7">
      <c r="F225" t="s">
        <v>81</v>
      </c>
      <c r="G225">
        <f>IF(COUNTIF(Data!$C$2:$C$1201,F225)&gt;0,1,0)</f>
        <v>1</v>
      </c>
    </row>
    <row r="226" spans="6:7">
      <c r="F226" t="s">
        <v>1345</v>
      </c>
      <c r="G226">
        <f>IF(COUNTIF(Data!$C$2:$C$1201,F226)&gt;0,1,0)</f>
        <v>1</v>
      </c>
    </row>
    <row r="227" spans="6:7">
      <c r="F227" t="s">
        <v>237</v>
      </c>
      <c r="G227">
        <f>IF(COUNTIF(Data!$C$2:$C$1201,F227)&gt;0,1,0)</f>
        <v>1</v>
      </c>
    </row>
    <row r="228" spans="6:7">
      <c r="F228" t="s">
        <v>160</v>
      </c>
      <c r="G228">
        <f>IF(COUNTIF(Data!$C$2:$C$1201,F228)&gt;0,1,0)</f>
        <v>1</v>
      </c>
    </row>
    <row r="229" spans="6:7">
      <c r="F229" t="s">
        <v>761</v>
      </c>
      <c r="G229">
        <f>IF(COUNTIF(Data!$C$2:$C$1201,F229)&gt;0,1,0)</f>
        <v>1</v>
      </c>
    </row>
    <row r="230" spans="6:7">
      <c r="F230" t="s">
        <v>213</v>
      </c>
      <c r="G230">
        <f>IF(COUNTIF(Data!$C$2:$C$1201,F230)&gt;0,1,0)</f>
        <v>1</v>
      </c>
    </row>
    <row r="231" spans="6:7">
      <c r="F231" t="s">
        <v>870</v>
      </c>
      <c r="G231">
        <f>IF(COUNTIF(Data!$C$2:$C$1201,F231)&gt;0,1,0)</f>
        <v>1</v>
      </c>
    </row>
    <row r="232" spans="6:7">
      <c r="F232" t="s">
        <v>255</v>
      </c>
      <c r="G232">
        <f>IF(COUNTIF(Data!$C$2:$C$1201,F232)&gt;0,1,0)</f>
        <v>1</v>
      </c>
    </row>
    <row r="233" spans="6:7">
      <c r="F233" t="s">
        <v>1578</v>
      </c>
      <c r="G233">
        <f>IF(COUNTIF(Data!$C$2:$C$1201,F233)&gt;0,1,0)</f>
        <v>1</v>
      </c>
    </row>
    <row r="234" spans="6:7">
      <c r="F234" t="s">
        <v>364</v>
      </c>
      <c r="G234">
        <f>IF(COUNTIF(Data!$C$2:$C$1201,F234)&gt;0,1,0)</f>
        <v>1</v>
      </c>
    </row>
    <row r="235" spans="6:7">
      <c r="F235" t="s">
        <v>1072</v>
      </c>
      <c r="G235">
        <f>IF(COUNTIF(Data!$C$2:$C$1201,F235)&gt;0,1,0)</f>
        <v>1</v>
      </c>
    </row>
    <row r="236" spans="6:7">
      <c r="F236" t="s">
        <v>110</v>
      </c>
      <c r="G236">
        <f>IF(COUNTIF(Data!$C$2:$C$1201,F236)&gt;0,1,0)</f>
        <v>1</v>
      </c>
    </row>
    <row r="237" spans="6:7">
      <c r="F237" t="s">
        <v>914</v>
      </c>
      <c r="G237">
        <f>IF(COUNTIF(Data!$C$2:$C$1201,F237)&gt;0,1,0)</f>
        <v>1</v>
      </c>
    </row>
    <row r="238" spans="6:7">
      <c r="F238" t="s">
        <v>1196</v>
      </c>
      <c r="G238">
        <f>IF(COUNTIF(Data!$C$2:$C$1201,F238)&gt;0,1,0)</f>
        <v>1</v>
      </c>
    </row>
    <row r="239" spans="6:7">
      <c r="F239" t="s">
        <v>73</v>
      </c>
      <c r="G239">
        <f>IF(COUNTIF(Data!$C$2:$C$1201,F239)&gt;0,1,0)</f>
        <v>1</v>
      </c>
    </row>
    <row r="240" spans="6:7">
      <c r="F240" t="s">
        <v>1306</v>
      </c>
      <c r="G240">
        <f>IF(COUNTIF(Data!$C$2:$C$1201,F240)&gt;0,1,0)</f>
        <v>1</v>
      </c>
    </row>
    <row r="241" spans="6:7">
      <c r="F241" t="s">
        <v>196</v>
      </c>
      <c r="G241">
        <f>IF(COUNTIF(Data!$C$2:$C$1201,F241)&gt;0,1,0)</f>
        <v>1</v>
      </c>
    </row>
    <row r="242" spans="6:7">
      <c r="F242" t="s">
        <v>479</v>
      </c>
      <c r="G242">
        <f>IF(COUNTIF(Data!$C$2:$C$1201,F242)&gt;0,1,0)</f>
        <v>1</v>
      </c>
    </row>
    <row r="243" spans="6:7">
      <c r="F243" t="s">
        <v>596</v>
      </c>
      <c r="G243">
        <f>IF(COUNTIF(Data!$C$2:$C$1201,F243)&gt;0,1,0)</f>
        <v>1</v>
      </c>
    </row>
    <row r="244" spans="6:7">
      <c r="F244" t="s">
        <v>352</v>
      </c>
      <c r="G244">
        <f>IF(COUNTIF(Data!$C$2:$C$1201,F244)&gt;0,1,0)</f>
        <v>1</v>
      </c>
    </row>
    <row r="245" spans="6:7">
      <c r="F245" t="s">
        <v>1337</v>
      </c>
      <c r="G245">
        <f>IF(COUNTIF(Data!$C$2:$C$1201,F245)&gt;0,1,0)</f>
        <v>1</v>
      </c>
    </row>
    <row r="246" spans="6:7">
      <c r="F246" t="s">
        <v>102</v>
      </c>
      <c r="G246">
        <f>IF(COUNTIF(Data!$C$2:$C$1201,F246)&gt;0,1,0)</f>
        <v>1</v>
      </c>
    </row>
    <row r="247" spans="6:7">
      <c r="F247" t="s">
        <v>235</v>
      </c>
      <c r="G247">
        <f>IF(COUNTIF(Data!$C$2:$C$1201,F247)&gt;0,1,0)</f>
        <v>1</v>
      </c>
    </row>
    <row r="248" spans="6:7">
      <c r="F248" t="s">
        <v>453</v>
      </c>
      <c r="G248">
        <f>IF(COUNTIF(Data!$C$2:$C$1201,F248)&gt;0,1,0)</f>
        <v>1</v>
      </c>
    </row>
    <row r="249" spans="6:7">
      <c r="F249" t="s">
        <v>655</v>
      </c>
      <c r="G249">
        <f>IF(COUNTIF(Data!$C$2:$C$1201,F249)&gt;0,1,0)</f>
        <v>1</v>
      </c>
    </row>
    <row r="250" spans="6:7">
      <c r="F250" t="s">
        <v>346</v>
      </c>
      <c r="G250">
        <f>IF(COUNTIF(Data!$C$2:$C$1201,F250)&gt;0,1,0)</f>
        <v>1</v>
      </c>
    </row>
    <row r="251" spans="6:7">
      <c r="F251" t="s">
        <v>141</v>
      </c>
      <c r="G251">
        <f>IF(COUNTIF(Data!$C$2:$C$1201,F251)&gt;0,1,0)</f>
        <v>1</v>
      </c>
    </row>
    <row r="252" spans="6:7">
      <c r="F252" t="s">
        <v>765</v>
      </c>
      <c r="G252">
        <f>IF(COUNTIF(Data!$C$2:$C$1201,F252)&gt;0,1,0)</f>
        <v>1</v>
      </c>
    </row>
    <row r="253" spans="6:7">
      <c r="F253" t="s">
        <v>1716</v>
      </c>
      <c r="G253">
        <f>IF(COUNTIF(Data!$C$2:$C$1201,F253)&gt;0,1,0)</f>
        <v>1</v>
      </c>
    </row>
    <row r="254" spans="6:7">
      <c r="F254" t="s">
        <v>194</v>
      </c>
      <c r="G254">
        <f>IF(COUNTIF(Data!$C$2:$C$1201,F254)&gt;0,1,0)</f>
        <v>1</v>
      </c>
    </row>
    <row r="255" spans="6:7">
      <c r="F255" t="s">
        <v>567</v>
      </c>
      <c r="G255">
        <f>IF(COUNTIF(Data!$C$2:$C$1201,F255)&gt;0,1,0)</f>
        <v>1</v>
      </c>
    </row>
    <row r="256" spans="6:7">
      <c r="F256" t="s">
        <v>1511</v>
      </c>
      <c r="G256">
        <f>IF(COUNTIF(Data!$C$2:$C$1201,F256)&gt;0,1,0)</f>
        <v>1</v>
      </c>
    </row>
    <row r="257" spans="6:7">
      <c r="F257" t="s">
        <v>269</v>
      </c>
      <c r="G257">
        <f>IF(COUNTIF(Data!$C$2:$C$1201,F257)&gt;0,1,0)</f>
        <v>1</v>
      </c>
    </row>
    <row r="258" spans="6:7">
      <c r="F258" t="s">
        <v>241</v>
      </c>
      <c r="G258">
        <f>IF(COUNTIF(Data!$C$2:$C$1201,F258)&gt;0,1,0)</f>
        <v>1</v>
      </c>
    </row>
    <row r="259" spans="6:7">
      <c r="F259" t="s">
        <v>251</v>
      </c>
      <c r="G259">
        <f>IF(COUNTIF(Data!$C$2:$C$1201,F259)&gt;0,1,0)</f>
        <v>1</v>
      </c>
    </row>
    <row r="260" spans="6:7">
      <c r="F260" t="s">
        <v>1811</v>
      </c>
      <c r="G260">
        <f>IF(COUNTIF(Data!$C$2:$C$1201,F260)&gt;0,1,0)</f>
        <v>0</v>
      </c>
    </row>
    <row r="261" spans="6:7">
      <c r="F261" t="s">
        <v>1812</v>
      </c>
      <c r="G261">
        <f>IF(COUNTIF(Data!$C$2:$C$1201,F261)&gt;0,1,0)</f>
        <v>0</v>
      </c>
    </row>
    <row r="262" spans="6:7">
      <c r="F262" t="s">
        <v>1545</v>
      </c>
      <c r="G262">
        <f>IF(COUNTIF(Data!$C$2:$C$1201,F262)&gt;0,1,0)</f>
        <v>1</v>
      </c>
    </row>
    <row r="263" spans="6:7">
      <c r="F263" t="s">
        <v>216</v>
      </c>
      <c r="G263">
        <f>IF(COUNTIF(Data!$C$2:$C$1201,F263)&gt;0,1,0)</f>
        <v>1</v>
      </c>
    </row>
    <row r="264" spans="6:7">
      <c r="F264" t="s">
        <v>1813</v>
      </c>
      <c r="G264">
        <f>IF(COUNTIF(Data!$C$2:$C$1201,F264)&gt;0,1,0)</f>
        <v>0</v>
      </c>
    </row>
    <row r="265" spans="6:7">
      <c r="F265" t="s">
        <v>849</v>
      </c>
      <c r="G265">
        <f>IF(COUNTIF(Data!$C$2:$C$1201,F265)&gt;0,1,0)</f>
        <v>1</v>
      </c>
    </row>
    <row r="266" spans="6:7">
      <c r="F266" t="s">
        <v>1326</v>
      </c>
      <c r="G266">
        <f>IF(COUNTIF(Data!$C$2:$C$1201,F266)&gt;0,1,0)</f>
        <v>1</v>
      </c>
    </row>
    <row r="267" spans="6:7">
      <c r="F267" t="s">
        <v>209</v>
      </c>
      <c r="G267">
        <f>IF(COUNTIF(Data!$C$2:$C$1201,F267)&gt;0,1,0)</f>
        <v>1</v>
      </c>
    </row>
    <row r="268" spans="6:7">
      <c r="F268" t="s">
        <v>614</v>
      </c>
      <c r="G268">
        <f>IF(COUNTIF(Data!$C$2:$C$1201,F268)&gt;0,1,0)</f>
        <v>1</v>
      </c>
    </row>
    <row r="269" spans="6:7">
      <c r="F269" t="s">
        <v>332</v>
      </c>
      <c r="G269">
        <f>IF(COUNTIF(Data!$C$2:$C$1201,F269)&gt;0,1,0)</f>
        <v>1</v>
      </c>
    </row>
    <row r="270" spans="6:7">
      <c r="F270" t="s">
        <v>1814</v>
      </c>
      <c r="G270">
        <f>IF(COUNTIF(Data!$C$2:$C$1201,F270)&gt;0,1,0)</f>
        <v>0</v>
      </c>
    </row>
    <row r="271" spans="6:7">
      <c r="F271" t="s">
        <v>145</v>
      </c>
      <c r="G271">
        <f>IF(COUNTIF(Data!$C$2:$C$1201,F271)&gt;0,1,0)</f>
        <v>1</v>
      </c>
    </row>
    <row r="272" spans="6:7">
      <c r="F272" t="s">
        <v>818</v>
      </c>
      <c r="G272">
        <f>IF(COUNTIF(Data!$C$2:$C$1201,F272)&gt;0,1,0)</f>
        <v>1</v>
      </c>
    </row>
    <row r="273" spans="6:7">
      <c r="F273" t="s">
        <v>1329</v>
      </c>
      <c r="G273">
        <f>IF(COUNTIF(Data!$C$2:$C$1201,F273)&gt;0,1,0)</f>
        <v>1</v>
      </c>
    </row>
    <row r="274" spans="6:7">
      <c r="F274" t="s">
        <v>94</v>
      </c>
      <c r="G274">
        <f>IF(COUNTIF(Data!$C$2:$C$1201,F274)&gt;0,1,0)</f>
        <v>1</v>
      </c>
    </row>
    <row r="275" spans="6:7">
      <c r="F275" t="s">
        <v>604</v>
      </c>
      <c r="G275">
        <f>IF(COUNTIF(Data!$C$2:$C$1201,F275)&gt;0,1,0)</f>
        <v>1</v>
      </c>
    </row>
    <row r="276" spans="6:7">
      <c r="F276" t="s">
        <v>271</v>
      </c>
      <c r="G276">
        <f>IF(COUNTIF(Data!$C$2:$C$1201,F276)&gt;0,1,0)</f>
        <v>1</v>
      </c>
    </row>
    <row r="277" spans="6:7">
      <c r="F277" t="s">
        <v>649</v>
      </c>
      <c r="G277">
        <f>IF(COUNTIF(Data!$C$2:$C$1201,F277)&gt;0,1,0)</f>
        <v>1</v>
      </c>
    </row>
    <row r="278" spans="6:7">
      <c r="F278" t="s">
        <v>759</v>
      </c>
      <c r="G278">
        <f>IF(COUNTIF(Data!$C$2:$C$1201,F278)&gt;0,1,0)</f>
        <v>1</v>
      </c>
    </row>
    <row r="279" spans="6:7">
      <c r="F279" t="s">
        <v>383</v>
      </c>
      <c r="G279">
        <f>IF(COUNTIF(Data!$C$2:$C$1201,F279)&gt;0,1,0)</f>
        <v>1</v>
      </c>
    </row>
    <row r="280" spans="6:7">
      <c r="F280" t="s">
        <v>1458</v>
      </c>
      <c r="G280">
        <f>IF(COUNTIF(Data!$C$2:$C$1201,F280)&gt;0,1,0)</f>
        <v>1</v>
      </c>
    </row>
    <row r="281" spans="6:7">
      <c r="F281" t="s">
        <v>1815</v>
      </c>
      <c r="G281">
        <f>IF(COUNTIF(Data!$C$2:$C$1201,F281)&gt;0,1,0)</f>
        <v>0</v>
      </c>
    </row>
    <row r="282" spans="6:7">
      <c r="F282" t="s">
        <v>625</v>
      </c>
      <c r="G282">
        <f>IF(COUNTIF(Data!$C$2:$C$1201,F282)&gt;0,1,0)</f>
        <v>1</v>
      </c>
    </row>
    <row r="283" spans="6:7">
      <c r="F283" t="s">
        <v>233</v>
      </c>
      <c r="G283">
        <f>IF(COUNTIF(Data!$C$2:$C$1201,F283)&gt;0,1,0)</f>
        <v>1</v>
      </c>
    </row>
    <row r="284" spans="6:7">
      <c r="F284" t="s">
        <v>1358</v>
      </c>
      <c r="G284">
        <f>IF(COUNTIF(Data!$C$2:$C$1201,F284)&gt;0,1,0)</f>
        <v>1</v>
      </c>
    </row>
    <row r="285" spans="6:7">
      <c r="F285" t="s">
        <v>211</v>
      </c>
      <c r="G285">
        <f>IF(COUNTIF(Data!$C$2:$C$1201,F285)&gt;0,1,0)</f>
        <v>1</v>
      </c>
    </row>
    <row r="286" spans="6:7">
      <c r="F286" t="s">
        <v>229</v>
      </c>
      <c r="G286">
        <f>IF(COUNTIF(Data!$C$2:$C$1201,F286)&gt;0,1,0)</f>
        <v>1</v>
      </c>
    </row>
    <row r="287" spans="6:7">
      <c r="F287" t="s">
        <v>1290</v>
      </c>
      <c r="G287">
        <f>IF(COUNTIF(Data!$C$2:$C$1201,F287)&gt;0,1,0)</f>
        <v>1</v>
      </c>
    </row>
    <row r="288" spans="6:7">
      <c r="F288" t="s">
        <v>1816</v>
      </c>
      <c r="G288">
        <f>IF(COUNTIF(Data!$C$2:$C$1201,F288)&gt;0,1,0)</f>
        <v>0</v>
      </c>
    </row>
    <row r="289" spans="6:7">
      <c r="F289" t="s">
        <v>1817</v>
      </c>
      <c r="G289">
        <f>IF(COUNTIF(Data!$C$2:$C$1201,F289)&gt;0,1,0)</f>
        <v>0</v>
      </c>
    </row>
    <row r="290" spans="6:7">
      <c r="F290" t="s">
        <v>245</v>
      </c>
      <c r="G290">
        <f>IF(COUNTIF(Data!$C$2:$C$1201,F290)&gt;0,1,0)</f>
        <v>1</v>
      </c>
    </row>
    <row r="291" spans="6:7">
      <c r="F291" t="s">
        <v>1316</v>
      </c>
      <c r="G291">
        <f>IF(COUNTIF(Data!$C$2:$C$1201,F291)&gt;0,1,0)</f>
        <v>1</v>
      </c>
    </row>
    <row r="292" spans="6:7">
      <c r="F292" t="s">
        <v>433</v>
      </c>
      <c r="G292">
        <f>IF(COUNTIF(Data!$C$2:$C$1201,F292)&gt;0,1,0)</f>
        <v>1</v>
      </c>
    </row>
    <row r="293" spans="6:7">
      <c r="F293" t="s">
        <v>1049</v>
      </c>
      <c r="G293">
        <f>IF(COUNTIF(Data!$C$2:$C$1201,F293)&gt;0,1,0)</f>
        <v>1</v>
      </c>
    </row>
    <row r="294" spans="6:7">
      <c r="F294" t="s">
        <v>412</v>
      </c>
      <c r="G294">
        <f>IF(COUNTIF(Data!$C$2:$C$1201,F294)&gt;0,1,0)</f>
        <v>1</v>
      </c>
    </row>
    <row r="295" spans="6:7">
      <c r="F295" t="s">
        <v>546</v>
      </c>
      <c r="G295">
        <f>IF(COUNTIF(Data!$C$2:$C$1201,F295)&gt;0,1,0)</f>
        <v>1</v>
      </c>
    </row>
    <row r="296" spans="6:7">
      <c r="F296" t="s">
        <v>522</v>
      </c>
      <c r="G296">
        <f>IF(COUNTIF(Data!$C$2:$C$1201,F296)&gt;0,1,0)</f>
        <v>1</v>
      </c>
    </row>
    <row r="297" spans="6:7">
      <c r="F297" t="s">
        <v>1294</v>
      </c>
      <c r="G297">
        <f>IF(COUNTIF(Data!$C$2:$C$1201,F297)&gt;0,1,0)</f>
        <v>1</v>
      </c>
    </row>
    <row r="298" spans="6:7">
      <c r="F298" t="s">
        <v>916</v>
      </c>
      <c r="G298">
        <f>IF(COUNTIF(Data!$C$2:$C$1201,F298)&gt;0,1,0)</f>
        <v>1</v>
      </c>
    </row>
    <row r="299" spans="6:7">
      <c r="F299" t="s">
        <v>1206</v>
      </c>
      <c r="G299">
        <f>IF(COUNTIF(Data!$C$2:$C$1201,F299)&gt;0,1,0)</f>
        <v>1</v>
      </c>
    </row>
    <row r="300" spans="6:7">
      <c r="F300" t="s">
        <v>712</v>
      </c>
      <c r="G300">
        <f>IF(COUNTIF(Data!$C$2:$C$1201,F300)&gt;0,1,0)</f>
        <v>1</v>
      </c>
    </row>
    <row r="301" spans="6:7">
      <c r="F301" t="s">
        <v>1818</v>
      </c>
      <c r="G301">
        <f>IF(COUNTIF(Data!$C$2:$C$1201,F301)&gt;0,1,0)</f>
        <v>0</v>
      </c>
    </row>
    <row r="302" spans="6:7">
      <c r="F302" t="s">
        <v>947</v>
      </c>
      <c r="G302">
        <f>IF(COUNTIF(Data!$C$2:$C$1201,F302)&gt;0,1,0)</f>
        <v>1</v>
      </c>
    </row>
    <row r="303" spans="6:7">
      <c r="F303" t="s">
        <v>174</v>
      </c>
      <c r="G303">
        <f>IF(COUNTIF(Data!$C$2:$C$1201,F303)&gt;0,1,0)</f>
        <v>1</v>
      </c>
    </row>
    <row r="304" spans="6:7">
      <c r="F304" t="s">
        <v>1819</v>
      </c>
      <c r="G304">
        <f>IF(COUNTIF(Data!$C$2:$C$1201,F304)&gt;0,1,0)</f>
        <v>0</v>
      </c>
    </row>
    <row r="305" spans="6:7">
      <c r="F305" t="s">
        <v>1820</v>
      </c>
      <c r="G305">
        <f>IF(COUNTIF(Data!$C$2:$C$1201,F305)&gt;0,1,0)</f>
        <v>0</v>
      </c>
    </row>
    <row r="306" spans="6:7">
      <c r="F306" t="s">
        <v>888</v>
      </c>
      <c r="G306">
        <f>IF(COUNTIF(Data!$C$2:$C$1201,F306)&gt;0,1,0)</f>
        <v>1</v>
      </c>
    </row>
    <row r="307" spans="6:7">
      <c r="F307" t="s">
        <v>316</v>
      </c>
      <c r="G307">
        <f>IF(COUNTIF(Data!$C$2:$C$1201,F307)&gt;0,1,0)</f>
        <v>1</v>
      </c>
    </row>
    <row r="308" spans="6:7">
      <c r="F308" t="s">
        <v>630</v>
      </c>
      <c r="G308">
        <f>IF(COUNTIF(Data!$C$2:$C$1201,F308)&gt;0,1,0)</f>
        <v>1</v>
      </c>
    </row>
    <row r="309" spans="6:7">
      <c r="F309" t="s">
        <v>389</v>
      </c>
      <c r="G309">
        <f>IF(COUNTIF(Data!$C$2:$C$1201,F309)&gt;0,1,0)</f>
        <v>1</v>
      </c>
    </row>
    <row r="310" spans="6:7">
      <c r="F310" t="s">
        <v>509</v>
      </c>
      <c r="G310">
        <f>IF(COUNTIF(Data!$C$2:$C$1201,F310)&gt;0,1,0)</f>
        <v>1</v>
      </c>
    </row>
    <row r="311" spans="6:7">
      <c r="F311" t="s">
        <v>503</v>
      </c>
      <c r="G311">
        <f>IF(COUNTIF(Data!$C$2:$C$1201,F311)&gt;0,1,0)</f>
        <v>1</v>
      </c>
    </row>
    <row r="312" spans="6:7">
      <c r="F312" t="s">
        <v>935</v>
      </c>
      <c r="G312">
        <f>IF(COUNTIF(Data!$C$2:$C$1201,F312)&gt;0,1,0)</f>
        <v>1</v>
      </c>
    </row>
    <row r="313" spans="6:7">
      <c r="F313" t="s">
        <v>728</v>
      </c>
      <c r="G313">
        <f>IF(COUNTIF(Data!$C$2:$C$1201,F313)&gt;0,1,0)</f>
        <v>1</v>
      </c>
    </row>
    <row r="314" spans="6:7">
      <c r="F314" t="s">
        <v>999</v>
      </c>
      <c r="G314">
        <f>IF(COUNTIF(Data!$C$2:$C$1201,F314)&gt;0,1,0)</f>
        <v>1</v>
      </c>
    </row>
    <row r="315" spans="6:7">
      <c r="F315" t="s">
        <v>266</v>
      </c>
      <c r="G315">
        <f>IF(COUNTIF(Data!$C$2:$C$1201,F315)&gt;0,1,0)</f>
        <v>1</v>
      </c>
    </row>
    <row r="316" spans="6:7">
      <c r="F316" t="s">
        <v>1821</v>
      </c>
      <c r="G316">
        <f>IF(COUNTIF(Data!$C$2:$C$1201,F316)&gt;0,1,0)</f>
        <v>0</v>
      </c>
    </row>
    <row r="317" spans="6:7">
      <c r="F317" t="s">
        <v>1215</v>
      </c>
      <c r="G317">
        <f>IF(COUNTIF(Data!$C$2:$C$1201,F317)&gt;0,1,0)</f>
        <v>1</v>
      </c>
    </row>
    <row r="318" spans="6:7">
      <c r="F318" t="s">
        <v>182</v>
      </c>
      <c r="G318">
        <f>IF(COUNTIF(Data!$C$2:$C$1201,F318)&gt;0,1,0)</f>
        <v>1</v>
      </c>
    </row>
    <row r="319" spans="6:7">
      <c r="F319" t="s">
        <v>218</v>
      </c>
      <c r="G319">
        <f>IF(COUNTIF(Data!$C$2:$C$1201,F319)&gt;0,1,0)</f>
        <v>1</v>
      </c>
    </row>
    <row r="320" spans="6:7">
      <c r="F320" t="s">
        <v>897</v>
      </c>
      <c r="G320">
        <f>IF(COUNTIF(Data!$C$2:$C$1201,F320)&gt;0,1,0)</f>
        <v>1</v>
      </c>
    </row>
    <row r="321" spans="6:7">
      <c r="F321" t="s">
        <v>366</v>
      </c>
      <c r="G321">
        <f>IF(COUNTIF(Data!$C$2:$C$1201,F321)&gt;0,1,0)</f>
        <v>1</v>
      </c>
    </row>
    <row r="322" spans="6:7">
      <c r="F322" t="s">
        <v>172</v>
      </c>
      <c r="G322">
        <f>IF(COUNTIF(Data!$C$2:$C$1201,F322)&gt;0,1,0)</f>
        <v>1</v>
      </c>
    </row>
    <row r="323" spans="6:7">
      <c r="F323" t="s">
        <v>1778</v>
      </c>
      <c r="G323">
        <f>IF(COUNTIF(Data!$C$2:$C$1201,F323)&gt;0,1,0)</f>
        <v>1</v>
      </c>
    </row>
    <row r="324" spans="6:7">
      <c r="F324" t="s">
        <v>1532</v>
      </c>
      <c r="G324">
        <f>IF(COUNTIF(Data!$C$2:$C$1201,F324)&gt;0,1,0)</f>
        <v>1</v>
      </c>
    </row>
    <row r="325" spans="6:7">
      <c r="F325" t="s">
        <v>811</v>
      </c>
      <c r="G325">
        <f>IF(COUNTIF(Data!$C$2:$C$1201,F325)&gt;0,1,0)</f>
        <v>1</v>
      </c>
    </row>
    <row r="326" spans="6:7">
      <c r="F326" t="s">
        <v>1192</v>
      </c>
      <c r="G326">
        <f>IF(COUNTIF(Data!$C$2:$C$1201,F326)&gt;0,1,0)</f>
        <v>1</v>
      </c>
    </row>
    <row r="327" spans="6:7">
      <c r="F327" t="s">
        <v>512</v>
      </c>
      <c r="G327">
        <f>IF(COUNTIF(Data!$C$2:$C$1201,F327)&gt;0,1,0)</f>
        <v>1</v>
      </c>
    </row>
    <row r="328" spans="6:7">
      <c r="F328" t="s">
        <v>488</v>
      </c>
      <c r="G328">
        <f>IF(COUNTIF(Data!$C$2:$C$1201,F328)&gt;0,1,0)</f>
        <v>1</v>
      </c>
    </row>
    <row r="329" spans="6:7">
      <c r="F329" t="s">
        <v>472</v>
      </c>
      <c r="G329">
        <f>IF(COUNTIF(Data!$C$2:$C$1201,F329)&gt;0,1,0)</f>
        <v>1</v>
      </c>
    </row>
    <row r="330" spans="6:7">
      <c r="F330" t="s">
        <v>178</v>
      </c>
      <c r="G330">
        <f>IF(COUNTIF(Data!$C$2:$C$1201,F330)&gt;0,1,0)</f>
        <v>1</v>
      </c>
    </row>
    <row r="331" spans="6:7">
      <c r="F331" t="s">
        <v>966</v>
      </c>
      <c r="G331">
        <f>IF(COUNTIF(Data!$C$2:$C$1201,F331)&gt;0,1,0)</f>
        <v>1</v>
      </c>
    </row>
    <row r="332" spans="6:7">
      <c r="F332" t="s">
        <v>100</v>
      </c>
      <c r="G332">
        <f>IF(COUNTIF(Data!$C$2:$C$1201,F332)&gt;0,1,0)</f>
        <v>1</v>
      </c>
    </row>
    <row r="333" spans="6:7">
      <c r="F333" t="s">
        <v>877</v>
      </c>
      <c r="G333">
        <f>IF(COUNTIF(Data!$C$2:$C$1201,F333)&gt;0,1,0)</f>
        <v>1</v>
      </c>
    </row>
    <row r="334" spans="6:7">
      <c r="F334" t="s">
        <v>1365</v>
      </c>
      <c r="G334">
        <f>IF(COUNTIF(Data!$C$2:$C$1201,F334)&gt;0,1,0)</f>
        <v>1</v>
      </c>
    </row>
    <row r="335" spans="6:7">
      <c r="F335" t="s">
        <v>1822</v>
      </c>
      <c r="G335">
        <f>IF(COUNTIF(Data!$C$2:$C$1201,F335)&gt;0,1,0)</f>
        <v>0</v>
      </c>
    </row>
    <row r="336" spans="6:7">
      <c r="F336" t="s">
        <v>565</v>
      </c>
      <c r="G336">
        <f>IF(COUNTIF(Data!$C$2:$C$1201,F336)&gt;0,1,0)</f>
        <v>1</v>
      </c>
    </row>
    <row r="337" spans="6:7">
      <c r="F337" t="s">
        <v>303</v>
      </c>
      <c r="G337">
        <f>IF(COUNTIF(Data!$C$2:$C$1201,F337)&gt;0,1,0)</f>
        <v>1</v>
      </c>
    </row>
    <row r="338" spans="6:7">
      <c r="F338" t="s">
        <v>1186</v>
      </c>
      <c r="G338">
        <f>IF(COUNTIF(Data!$C$2:$C$1201,F338)&gt;0,1,0)</f>
        <v>1</v>
      </c>
    </row>
    <row r="339" spans="6:7">
      <c r="F339" t="s">
        <v>112</v>
      </c>
      <c r="G339">
        <f>IF(COUNTIF(Data!$C$2:$C$1201,F339)&gt;0,1,0)</f>
        <v>1</v>
      </c>
    </row>
    <row r="340" spans="6:7">
      <c r="F340" t="s">
        <v>467</v>
      </c>
      <c r="G340">
        <f>IF(COUNTIF(Data!$C$2:$C$1201,F340)&gt;0,1,0)</f>
        <v>1</v>
      </c>
    </row>
    <row r="341" spans="6:7">
      <c r="F341" t="s">
        <v>460</v>
      </c>
      <c r="G341">
        <f>IF(COUNTIF(Data!$C$2:$C$1201,F341)&gt;0,1,0)</f>
        <v>1</v>
      </c>
    </row>
    <row r="342" spans="6:7">
      <c r="F342" t="s">
        <v>528</v>
      </c>
      <c r="G342">
        <f>IF(COUNTIF(Data!$C$2:$C$1201,F342)&gt;0,1,0)</f>
        <v>1</v>
      </c>
    </row>
    <row r="343" spans="6:7">
      <c r="F343" t="s">
        <v>1077</v>
      </c>
      <c r="G343">
        <f>IF(COUNTIF(Data!$C$2:$C$1201,F343)&gt;0,1,0)</f>
        <v>1</v>
      </c>
    </row>
    <row r="344" spans="6:7">
      <c r="F344" t="s">
        <v>752</v>
      </c>
      <c r="G344">
        <f>IF(COUNTIF(Data!$C$2:$C$1201,F344)&gt;0,1,0)</f>
        <v>1</v>
      </c>
    </row>
    <row r="345" spans="6:7">
      <c r="F345" t="s">
        <v>809</v>
      </c>
      <c r="G345">
        <f>IF(COUNTIF(Data!$C$2:$C$1201,F345)&gt;0,1,0)</f>
        <v>1</v>
      </c>
    </row>
    <row r="346" spans="6:7">
      <c r="F346" t="s">
        <v>505</v>
      </c>
      <c r="G346">
        <f>IF(COUNTIF(Data!$C$2:$C$1201,F346)&gt;0,1,0)</f>
        <v>1</v>
      </c>
    </row>
    <row r="347" spans="6:7">
      <c r="F347" t="s">
        <v>827</v>
      </c>
      <c r="G347">
        <f>IF(COUNTIF(Data!$C$2:$C$1201,F347)&gt;0,1,0)</f>
        <v>1</v>
      </c>
    </row>
    <row r="348" spans="6:7">
      <c r="F348" t="s">
        <v>401</v>
      </c>
      <c r="G348">
        <f>IF(COUNTIF(Data!$C$2:$C$1201,F348)&gt;0,1,0)</f>
        <v>1</v>
      </c>
    </row>
    <row r="349" spans="6:7">
      <c r="F349" t="s">
        <v>1269</v>
      </c>
      <c r="G349">
        <f>IF(COUNTIF(Data!$C$2:$C$1201,F349)&gt;0,1,0)</f>
        <v>1</v>
      </c>
    </row>
    <row r="350" spans="6:7">
      <c r="F350" t="s">
        <v>1640</v>
      </c>
      <c r="G350">
        <f>IF(COUNTIF(Data!$C$2:$C$1201,F350)&gt;0,1,0)</f>
        <v>1</v>
      </c>
    </row>
    <row r="351" spans="6:7">
      <c r="F351" t="s">
        <v>825</v>
      </c>
      <c r="G351">
        <f>IF(COUNTIF(Data!$C$2:$C$1201,F351)&gt;0,1,0)</f>
        <v>1</v>
      </c>
    </row>
    <row r="352" spans="6:7">
      <c r="F352" t="s">
        <v>1171</v>
      </c>
      <c r="G352">
        <f>IF(COUNTIF(Data!$C$2:$C$1201,F352)&gt;0,1,0)</f>
        <v>1</v>
      </c>
    </row>
    <row r="353" spans="6:7">
      <c r="F353" t="s">
        <v>1591</v>
      </c>
      <c r="G353">
        <f>IF(COUNTIF(Data!$C$2:$C$1201,F353)&gt;0,1,0)</f>
        <v>1</v>
      </c>
    </row>
    <row r="354" spans="6:7">
      <c r="F354" t="s">
        <v>950</v>
      </c>
      <c r="G354">
        <f>IF(COUNTIF(Data!$C$2:$C$1201,F354)&gt;0,1,0)</f>
        <v>1</v>
      </c>
    </row>
    <row r="355" spans="6:7">
      <c r="F355" t="s">
        <v>501</v>
      </c>
      <c r="G355">
        <f>IF(COUNTIF(Data!$C$2:$C$1201,F355)&gt;0,1,0)</f>
        <v>1</v>
      </c>
    </row>
    <row r="356" spans="6:7">
      <c r="F356" t="s">
        <v>1823</v>
      </c>
      <c r="G356">
        <f>IF(COUNTIF(Data!$C$2:$C$1201,F356)&gt;0,1,0)</f>
        <v>0</v>
      </c>
    </row>
    <row r="357" spans="6:7">
      <c r="F357" t="s">
        <v>681</v>
      </c>
      <c r="G357">
        <f>IF(COUNTIF(Data!$C$2:$C$1201,F357)&gt;0,1,0)</f>
        <v>1</v>
      </c>
    </row>
    <row r="358" spans="6:7">
      <c r="F358" t="s">
        <v>1824</v>
      </c>
      <c r="G358">
        <f>IF(COUNTIF(Data!$C$2:$C$1201,F358)&gt;0,1,0)</f>
        <v>0</v>
      </c>
    </row>
    <row r="359" spans="6:7">
      <c r="F359" t="s">
        <v>1825</v>
      </c>
      <c r="G359">
        <f>IF(COUNTIF(Data!$C$2:$C$1201,F359)&gt;0,1,0)</f>
        <v>0</v>
      </c>
    </row>
    <row r="360" spans="6:7">
      <c r="F360" t="s">
        <v>164</v>
      </c>
      <c r="G360">
        <f>IF(COUNTIF(Data!$C$2:$C$1201,F360)&gt;0,1,0)</f>
        <v>1</v>
      </c>
    </row>
    <row r="361" spans="6:7">
      <c r="F361" t="s">
        <v>618</v>
      </c>
      <c r="G361">
        <f>IF(COUNTIF(Data!$C$2:$C$1201,F361)&gt;0,1,0)</f>
        <v>1</v>
      </c>
    </row>
    <row r="362" spans="6:7">
      <c r="F362" t="s">
        <v>1826</v>
      </c>
      <c r="G362">
        <f>IF(COUNTIF(Data!$C$2:$C$1201,F362)&gt;0,1,0)</f>
        <v>0</v>
      </c>
    </row>
    <row r="363" spans="6:7">
      <c r="F363" t="s">
        <v>116</v>
      </c>
      <c r="G363">
        <f>IF(COUNTIF(Data!$C$2:$C$1201,F363)&gt;0,1,0)</f>
        <v>1</v>
      </c>
    </row>
    <row r="364" spans="6:7">
      <c r="F364" t="s">
        <v>75</v>
      </c>
      <c r="G364">
        <f>IF(COUNTIF(Data!$C$2:$C$1201,F364)&gt;0,1,0)</f>
        <v>1</v>
      </c>
    </row>
    <row r="365" spans="6:7">
      <c r="F365" t="s">
        <v>644</v>
      </c>
      <c r="G365">
        <f>IF(COUNTIF(Data!$C$2:$C$1201,F365)&gt;0,1,0)</f>
        <v>1</v>
      </c>
    </row>
    <row r="366" spans="6:7">
      <c r="F366" t="s">
        <v>1426</v>
      </c>
      <c r="G366">
        <f>IF(COUNTIF(Data!$C$2:$C$1201,F366)&gt;0,1,0)</f>
        <v>1</v>
      </c>
    </row>
    <row r="367" spans="6:7">
      <c r="F367" t="s">
        <v>968</v>
      </c>
      <c r="G367">
        <f>IF(COUNTIF(Data!$C$2:$C$1201,F367)&gt;0,1,0)</f>
        <v>1</v>
      </c>
    </row>
    <row r="368" spans="6:7">
      <c r="F368" t="s">
        <v>1827</v>
      </c>
      <c r="G368">
        <f>IF(COUNTIF(Data!$C$2:$C$1201,F368)&gt;0,1,0)</f>
        <v>0</v>
      </c>
    </row>
    <row r="369" spans="6:7">
      <c r="F369" t="s">
        <v>611</v>
      </c>
      <c r="G369">
        <f>IF(COUNTIF(Data!$C$2:$C$1201,F369)&gt;0,1,0)</f>
        <v>1</v>
      </c>
    </row>
    <row r="370" spans="6:7">
      <c r="F370" t="s">
        <v>658</v>
      </c>
      <c r="G370">
        <f>IF(COUNTIF(Data!$C$2:$C$1201,F370)&gt;0,1,0)</f>
        <v>1</v>
      </c>
    </row>
    <row r="371" spans="6:7">
      <c r="F371" t="s">
        <v>1828</v>
      </c>
      <c r="G371">
        <f>IF(COUNTIF(Data!$C$2:$C$1201,F371)&gt;0,1,0)</f>
        <v>0</v>
      </c>
    </row>
    <row r="372" spans="6:7">
      <c r="F372" t="s">
        <v>1500</v>
      </c>
      <c r="G372">
        <f>IF(COUNTIF(Data!$C$2:$C$1201,F372)&gt;0,1,0)</f>
        <v>1</v>
      </c>
    </row>
    <row r="373" spans="6:7">
      <c r="F373" t="s">
        <v>1132</v>
      </c>
      <c r="G373">
        <f>IF(COUNTIF(Data!$C$2:$C$1201,F373)&gt;0,1,0)</f>
        <v>1</v>
      </c>
    </row>
    <row r="374" spans="6:7">
      <c r="F374" t="s">
        <v>154</v>
      </c>
      <c r="G374">
        <f>IF(COUNTIF(Data!$C$2:$C$1201,F374)&gt;0,1,0)</f>
        <v>1</v>
      </c>
    </row>
    <row r="375" spans="6:7">
      <c r="F375" t="s">
        <v>742</v>
      </c>
      <c r="G375">
        <f>IF(COUNTIF(Data!$C$2:$C$1201,F375)&gt;0,1,0)</f>
        <v>1</v>
      </c>
    </row>
    <row r="376" spans="6:7">
      <c r="F376" t="s">
        <v>1386</v>
      </c>
      <c r="G376">
        <f>IF(COUNTIF(Data!$C$2:$C$1201,F376)&gt;0,1,0)</f>
        <v>1</v>
      </c>
    </row>
    <row r="377" spans="6:7">
      <c r="F377" t="s">
        <v>342</v>
      </c>
      <c r="G377">
        <f>IF(COUNTIF(Data!$C$2:$C$1201,F377)&gt;0,1,0)</f>
        <v>1</v>
      </c>
    </row>
    <row r="378" spans="6:7">
      <c r="F378" t="s">
        <v>1140</v>
      </c>
      <c r="G378">
        <f>IF(COUNTIF(Data!$C$2:$C$1201,F378)&gt;0,1,0)</f>
        <v>1</v>
      </c>
    </row>
    <row r="379" spans="6:7">
      <c r="F379" t="s">
        <v>1350</v>
      </c>
      <c r="G379">
        <f>IF(COUNTIF(Data!$C$2:$C$1201,F379)&gt;0,1,0)</f>
        <v>1</v>
      </c>
    </row>
    <row r="380" spans="6:7">
      <c r="F380" t="s">
        <v>481</v>
      </c>
      <c r="G380">
        <f>IF(COUNTIF(Data!$C$2:$C$1201,F380)&gt;0,1,0)</f>
        <v>1</v>
      </c>
    </row>
    <row r="381" spans="6:7">
      <c r="F381" t="s">
        <v>438</v>
      </c>
      <c r="G381">
        <f>IF(COUNTIF(Data!$C$2:$C$1201,F381)&gt;0,1,0)</f>
        <v>1</v>
      </c>
    </row>
    <row r="382" spans="6:7">
      <c r="F382" t="s">
        <v>419</v>
      </c>
      <c r="G382">
        <f>IF(COUNTIF(Data!$C$2:$C$1201,F382)&gt;0,1,0)</f>
        <v>1</v>
      </c>
    </row>
    <row r="383" spans="6:7">
      <c r="F383" t="s">
        <v>989</v>
      </c>
      <c r="G383">
        <f>IF(COUNTIF(Data!$C$2:$C$1201,F383)&gt;0,1,0)</f>
        <v>1</v>
      </c>
    </row>
    <row r="384" spans="6:7">
      <c r="F384" t="s">
        <v>585</v>
      </c>
      <c r="G384">
        <f>IF(COUNTIF(Data!$C$2:$C$1201,F384)&gt;0,1,0)</f>
        <v>1</v>
      </c>
    </row>
    <row r="385" spans="6:7">
      <c r="F385" t="s">
        <v>1756</v>
      </c>
      <c r="G385">
        <f>IF(COUNTIF(Data!$C$2:$C$1201,F385)&gt;0,1,0)</f>
        <v>1</v>
      </c>
    </row>
    <row r="386" spans="6:7">
      <c r="F386" t="s">
        <v>1352</v>
      </c>
      <c r="G386">
        <f>IF(COUNTIF(Data!$C$2:$C$1201,F386)&gt;0,1,0)</f>
        <v>1</v>
      </c>
    </row>
    <row r="387" spans="6:7">
      <c r="F387" t="s">
        <v>670</v>
      </c>
      <c r="G387">
        <f>IF(COUNTIF(Data!$C$2:$C$1201,F387)&gt;0,1,0)</f>
        <v>1</v>
      </c>
    </row>
    <row r="388" spans="6:7">
      <c r="F388" t="s">
        <v>1099</v>
      </c>
      <c r="G388">
        <f>IF(COUNTIF(Data!$C$2:$C$1201,F388)&gt;0,1,0)</f>
        <v>1</v>
      </c>
    </row>
    <row r="389" spans="6:7">
      <c r="F389" t="s">
        <v>126</v>
      </c>
      <c r="G389">
        <f>IF(COUNTIF(Data!$C$2:$C$1201,F389)&gt;0,1,0)</f>
        <v>1</v>
      </c>
    </row>
    <row r="390" spans="6:7">
      <c r="F390" t="s">
        <v>65</v>
      </c>
      <c r="G390">
        <f>IF(COUNTIF(Data!$C$2:$C$1201,F390)&gt;0,1,0)</f>
        <v>1</v>
      </c>
    </row>
    <row r="391" spans="6:7">
      <c r="F391" t="s">
        <v>599</v>
      </c>
      <c r="G391">
        <f>IF(COUNTIF(Data!$C$2:$C$1201,F391)&gt;0,1,0)</f>
        <v>1</v>
      </c>
    </row>
    <row r="392" spans="6:7">
      <c r="F392" t="s">
        <v>1158</v>
      </c>
      <c r="G392">
        <f>IF(COUNTIF(Data!$C$2:$C$1201,F392)&gt;0,1,0)</f>
        <v>1</v>
      </c>
    </row>
    <row r="393" spans="6:7">
      <c r="F393" t="s">
        <v>1829</v>
      </c>
      <c r="G393">
        <f>IF(COUNTIF(Data!$C$2:$C$1201,F393)&gt;0,1,0)</f>
        <v>0</v>
      </c>
    </row>
    <row r="394" spans="6:7">
      <c r="F394" t="s">
        <v>1046</v>
      </c>
      <c r="G394">
        <f>IF(COUNTIF(Data!$C$2:$C$1201,F394)&gt;0,1,0)</f>
        <v>1</v>
      </c>
    </row>
    <row r="395" spans="6:7">
      <c r="F395" t="s">
        <v>653</v>
      </c>
      <c r="G395">
        <f>IF(COUNTIF(Data!$C$2:$C$1201,F395)&gt;0,1,0)</f>
        <v>1</v>
      </c>
    </row>
    <row r="396" spans="6:7">
      <c r="F396" t="s">
        <v>1830</v>
      </c>
      <c r="G396">
        <f>IF(COUNTIF(Data!$C$2:$C$1201,F396)&gt;0,1,0)</f>
        <v>0</v>
      </c>
    </row>
    <row r="397" spans="6:7">
      <c r="F397" t="s">
        <v>958</v>
      </c>
      <c r="G397">
        <f>IF(COUNTIF(Data!$C$2:$C$1201,F397)&gt;0,1,0)</f>
        <v>1</v>
      </c>
    </row>
    <row r="398" spans="6:7">
      <c r="F398" t="s">
        <v>696</v>
      </c>
      <c r="G398">
        <f>IF(COUNTIF(Data!$C$2:$C$1201,F398)&gt;0,1,0)</f>
        <v>1</v>
      </c>
    </row>
    <row r="399" spans="6:7">
      <c r="F399" t="s">
        <v>647</v>
      </c>
      <c r="G399">
        <f>IF(COUNTIF(Data!$C$2:$C$1201,F399)&gt;0,1,0)</f>
        <v>1</v>
      </c>
    </row>
    <row r="400" spans="6:7">
      <c r="F400" t="s">
        <v>1088</v>
      </c>
      <c r="G400">
        <f>IF(COUNTIF(Data!$C$2:$C$1201,F400)&gt;0,1,0)</f>
        <v>1</v>
      </c>
    </row>
    <row r="401" spans="6:7">
      <c r="F401" t="s">
        <v>1831</v>
      </c>
      <c r="G401">
        <f>IF(COUNTIF(Data!$C$2:$C$1201,F401)&gt;0,1,0)</f>
        <v>0</v>
      </c>
    </row>
    <row r="402" spans="6:7">
      <c r="F402" t="s">
        <v>1832</v>
      </c>
      <c r="G402">
        <f>IF(COUNTIF(Data!$C$2:$C$1201,F402)&gt;0,1,0)</f>
        <v>0</v>
      </c>
    </row>
    <row r="403" spans="6:7">
      <c r="F403" t="s">
        <v>1643</v>
      </c>
      <c r="G403">
        <f>IF(COUNTIF(Data!$C$2:$C$1201,F403)&gt;0,1,0)</f>
        <v>1</v>
      </c>
    </row>
    <row r="404" spans="6:7">
      <c r="F404" t="s">
        <v>991</v>
      </c>
      <c r="G404">
        <f>IF(COUNTIF(Data!$C$2:$C$1201,F404)&gt;0,1,0)</f>
        <v>1</v>
      </c>
    </row>
    <row r="405" spans="6:7">
      <c r="F405" t="s">
        <v>789</v>
      </c>
      <c r="G405">
        <f>IF(COUNTIF(Data!$C$2:$C$1201,F405)&gt;0,1,0)</f>
        <v>1</v>
      </c>
    </row>
    <row r="406" spans="6:7">
      <c r="F406" t="s">
        <v>1204</v>
      </c>
      <c r="G406">
        <f>IF(COUNTIF(Data!$C$2:$C$1201,F406)&gt;0,1,0)</f>
        <v>1</v>
      </c>
    </row>
    <row r="407" spans="6:7">
      <c r="F407" t="s">
        <v>220</v>
      </c>
      <c r="G407">
        <f>IF(COUNTIF(Data!$C$2:$C$1201,F407)&gt;0,1,0)</f>
        <v>1</v>
      </c>
    </row>
    <row r="408" spans="6:7">
      <c r="F408" t="s">
        <v>720</v>
      </c>
      <c r="G408">
        <f>IF(COUNTIF(Data!$C$2:$C$1201,F408)&gt;0,1,0)</f>
        <v>1</v>
      </c>
    </row>
    <row r="409" spans="6:7">
      <c r="F409" t="s">
        <v>1833</v>
      </c>
      <c r="G409">
        <f>IF(COUNTIF(Data!$C$2:$C$1201,F409)&gt;0,1,0)</f>
        <v>0</v>
      </c>
    </row>
    <row r="410" spans="6:7">
      <c r="F410" t="s">
        <v>186</v>
      </c>
      <c r="G410">
        <f>IF(COUNTIF(Data!$C$2:$C$1201,F410)&gt;0,1,0)</f>
        <v>1</v>
      </c>
    </row>
    <row r="411" spans="6:7">
      <c r="F411" t="s">
        <v>1834</v>
      </c>
      <c r="G411">
        <f>IF(COUNTIF(Data!$C$2:$C$1201,F411)&gt;0,1,0)</f>
        <v>0</v>
      </c>
    </row>
    <row r="412" spans="6:7">
      <c r="F412" t="s">
        <v>1835</v>
      </c>
      <c r="G412">
        <f>IF(COUNTIF(Data!$C$2:$C$1201,F412)&gt;0,1,0)</f>
        <v>0</v>
      </c>
    </row>
    <row r="413" spans="6:7">
      <c r="F413" t="s">
        <v>520</v>
      </c>
      <c r="G413">
        <f>IF(COUNTIF(Data!$C$2:$C$1201,F413)&gt;0,1,0)</f>
        <v>1</v>
      </c>
    </row>
    <row r="414" spans="6:7">
      <c r="F414" t="s">
        <v>133</v>
      </c>
      <c r="G414">
        <f>IF(COUNTIF(Data!$C$2:$C$1201,F414)&gt;0,1,0)</f>
        <v>1</v>
      </c>
    </row>
    <row r="415" spans="6:7">
      <c r="F415" t="s">
        <v>205</v>
      </c>
      <c r="G415">
        <f>IF(COUNTIF(Data!$C$2:$C$1201,F415)&gt;0,1,0)</f>
        <v>1</v>
      </c>
    </row>
    <row r="416" spans="6:7">
      <c r="F416" t="s">
        <v>1024</v>
      </c>
      <c r="G416">
        <f>IF(COUNTIF(Data!$C$2:$C$1201,F416)&gt;0,1,0)</f>
        <v>1</v>
      </c>
    </row>
    <row r="417" spans="6:7">
      <c r="F417" t="s">
        <v>156</v>
      </c>
      <c r="G417">
        <f>IF(COUNTIF(Data!$C$2:$C$1201,F417)&gt;0,1,0)</f>
        <v>1</v>
      </c>
    </row>
    <row r="418" spans="6:7">
      <c r="F418" t="s">
        <v>651</v>
      </c>
      <c r="G418">
        <f>IF(COUNTIF(Data!$C$2:$C$1201,F418)&gt;0,1,0)</f>
        <v>1</v>
      </c>
    </row>
    <row r="419" spans="6:7">
      <c r="F419" t="s">
        <v>336</v>
      </c>
      <c r="G419">
        <f>IF(COUNTIF(Data!$C$2:$C$1201,F419)&gt;0,1,0)</f>
        <v>1</v>
      </c>
    </row>
    <row r="420" spans="6:7">
      <c r="F420" t="s">
        <v>301</v>
      </c>
      <c r="G420">
        <f>IF(COUNTIF(Data!$C$2:$C$1201,F420)&gt;0,1,0)</f>
        <v>1</v>
      </c>
    </row>
    <row r="421" spans="6:7">
      <c r="F421" t="s">
        <v>495</v>
      </c>
      <c r="G421">
        <f>IF(COUNTIF(Data!$C$2:$C$1201,F421)&gt;0,1,0)</f>
        <v>1</v>
      </c>
    </row>
    <row r="422" spans="6:7">
      <c r="F422" t="s">
        <v>158</v>
      </c>
      <c r="G422">
        <f>IF(COUNTIF(Data!$C$2:$C$1201,F422)&gt;0,1,0)</f>
        <v>1</v>
      </c>
    </row>
    <row r="423" spans="6:7">
      <c r="F423" t="s">
        <v>993</v>
      </c>
      <c r="G423">
        <f>IF(COUNTIF(Data!$C$2:$C$1201,F423)&gt;0,1,0)</f>
        <v>1</v>
      </c>
    </row>
    <row r="424" spans="6:7">
      <c r="F424" t="s">
        <v>1267</v>
      </c>
      <c r="G424">
        <f>IF(COUNTIF(Data!$C$2:$C$1201,F424)&gt;0,1,0)</f>
        <v>1</v>
      </c>
    </row>
    <row r="425" spans="6:7">
      <c r="F425" t="s">
        <v>442</v>
      </c>
      <c r="G425">
        <f>IF(COUNTIF(Data!$C$2:$C$1201,F425)&gt;0,1,0)</f>
        <v>1</v>
      </c>
    </row>
    <row r="426" spans="6:7">
      <c r="F426" t="s">
        <v>288</v>
      </c>
      <c r="G426">
        <f>IF(COUNTIF(Data!$C$2:$C$1201,F426)&gt;0,1,0)</f>
        <v>1</v>
      </c>
    </row>
    <row r="427" spans="6:7">
      <c r="F427" t="s">
        <v>905</v>
      </c>
      <c r="G427">
        <f>IF(COUNTIF(Data!$C$2:$C$1201,F427)&gt;0,1,0)</f>
        <v>1</v>
      </c>
    </row>
    <row r="428" spans="6:7">
      <c r="F428" t="s">
        <v>1570</v>
      </c>
      <c r="G428">
        <f>IF(COUNTIF(Data!$C$2:$C$1201,F428)&gt;0,1,0)</f>
        <v>1</v>
      </c>
    </row>
    <row r="429" spans="6:7">
      <c r="F429" t="s">
        <v>515</v>
      </c>
      <c r="G429">
        <f>IF(COUNTIF(Data!$C$2:$C$1201,F429)&gt;0,1,0)</f>
        <v>1</v>
      </c>
    </row>
    <row r="430" spans="6:7">
      <c r="F430" t="s">
        <v>60</v>
      </c>
      <c r="G430">
        <f>IF(COUNTIF(Data!$C$2:$C$1201,F430)&gt;0,1,0)</f>
        <v>1</v>
      </c>
    </row>
    <row r="431" spans="6:7">
      <c r="F431" t="s">
        <v>885</v>
      </c>
      <c r="G431">
        <f>IF(COUNTIF(Data!$C$2:$C$1201,F431)&gt;0,1,0)</f>
        <v>1</v>
      </c>
    </row>
    <row r="432" spans="6:7">
      <c r="F432" t="s">
        <v>1836</v>
      </c>
      <c r="G432">
        <f>IF(COUNTIF(Data!$C$2:$C$1201,F432)&gt;0,1,0)</f>
        <v>0</v>
      </c>
    </row>
    <row r="433" spans="6:7">
      <c r="F433" t="s">
        <v>63</v>
      </c>
      <c r="G433">
        <f>IF(COUNTIF(Data!$C$2:$C$1201,F433)&gt;0,1,0)</f>
        <v>1</v>
      </c>
    </row>
    <row r="434" spans="6:7">
      <c r="F434" t="s">
        <v>106</v>
      </c>
      <c r="G434">
        <f>IF(COUNTIF(Data!$C$2:$C$1201,F434)&gt;0,1,0)</f>
        <v>1</v>
      </c>
    </row>
    <row r="435" spans="6:7">
      <c r="F435" t="s">
        <v>1448</v>
      </c>
      <c r="G435">
        <f>IF(COUNTIF(Data!$C$2:$C$1201,F435)&gt;0,1,0)</f>
        <v>1</v>
      </c>
    </row>
    <row r="436" spans="6:7">
      <c r="F436" t="s">
        <v>188</v>
      </c>
      <c r="G436">
        <f>IF(COUNTIF(Data!$C$2:$C$1201,F436)&gt;0,1,0)</f>
        <v>1</v>
      </c>
    </row>
    <row r="437" spans="6:7">
      <c r="F437" t="s">
        <v>1259</v>
      </c>
      <c r="G437">
        <f>IF(COUNTIF(Data!$C$2:$C$1201,F437)&gt;0,1,0)</f>
        <v>1</v>
      </c>
    </row>
    <row r="438" spans="6:7">
      <c r="F438" t="s">
        <v>1483</v>
      </c>
      <c r="G438">
        <f>IF(COUNTIF(Data!$C$2:$C$1201,F438)&gt;0,1,0)</f>
        <v>1</v>
      </c>
    </row>
    <row r="439" spans="6:7">
      <c r="F439" t="s">
        <v>87</v>
      </c>
      <c r="G439">
        <f>IF(COUNTIF(Data!$C$2:$C$1201,F439)&gt;0,1,0)</f>
        <v>1</v>
      </c>
    </row>
    <row r="440" spans="6:7">
      <c r="F440" t="s">
        <v>1837</v>
      </c>
      <c r="G440">
        <f>IF(COUNTIF(Data!$C$2:$C$1201,F440)&gt;0,1,0)</f>
        <v>0</v>
      </c>
    </row>
    <row r="441" spans="6:7">
      <c r="F441" t="s">
        <v>1530</v>
      </c>
      <c r="G441">
        <f>IF(COUNTIF(Data!$C$2:$C$1201,F441)&gt;0,1,0)</f>
        <v>1</v>
      </c>
    </row>
    <row r="442" spans="6:7">
      <c r="F442" t="s">
        <v>1034</v>
      </c>
      <c r="G442">
        <f>IF(COUNTIF(Data!$C$2:$C$1201,F442)&gt;0,1,0)</f>
        <v>1</v>
      </c>
    </row>
    <row r="443" spans="6:7">
      <c r="F443" t="s">
        <v>1838</v>
      </c>
      <c r="G443">
        <f>IF(COUNTIF(Data!$C$2:$C$1201,F443)&gt;0,1,0)</f>
        <v>0</v>
      </c>
    </row>
    <row r="444" spans="6:7">
      <c r="F444" t="s">
        <v>499</v>
      </c>
      <c r="G444">
        <f>IF(COUNTIF(Data!$C$2:$C$1201,F444)&gt;0,1,0)</f>
        <v>1</v>
      </c>
    </row>
    <row r="445" spans="6:7">
      <c r="F445" t="s">
        <v>307</v>
      </c>
      <c r="G445">
        <f>IF(COUNTIF(Data!$C$2:$C$1201,F445)&gt;0,1,0)</f>
        <v>1</v>
      </c>
    </row>
    <row r="446" spans="6:7">
      <c r="F446" t="s">
        <v>475</v>
      </c>
      <c r="G446">
        <f>IF(COUNTIF(Data!$C$2:$C$1201,F446)&gt;0,1,0)</f>
        <v>1</v>
      </c>
    </row>
    <row r="447" spans="6:7">
      <c r="F447" t="s">
        <v>168</v>
      </c>
      <c r="G447">
        <f>IF(COUNTIF(Data!$C$2:$C$1201,F447)&gt;0,1,0)</f>
        <v>1</v>
      </c>
    </row>
    <row r="448" spans="6:7">
      <c r="F448" t="s">
        <v>399</v>
      </c>
      <c r="G448">
        <f>IF(COUNTIF(Data!$C$2:$C$1201,F448)&gt;0,1,0)</f>
        <v>1</v>
      </c>
    </row>
    <row r="449" spans="6:7">
      <c r="F449" t="s">
        <v>108</v>
      </c>
      <c r="G449">
        <f>IF(COUNTIF(Data!$C$2:$C$1201,F449)&gt;0,1,0)</f>
        <v>1</v>
      </c>
    </row>
    <row r="450" spans="6:7">
      <c r="F450" t="s">
        <v>1839</v>
      </c>
      <c r="G450">
        <f>IF(COUNTIF(Data!$C$2:$C$1201,F450)&gt;0,1,0)</f>
        <v>0</v>
      </c>
    </row>
    <row r="451" spans="6:7">
      <c r="F451" t="s">
        <v>662</v>
      </c>
      <c r="G451">
        <f>IF(COUNTIF(Data!$C$2:$C$1201,F451)&gt;0,1,0)</f>
        <v>1</v>
      </c>
    </row>
    <row r="452" spans="6:7">
      <c r="F452" t="s">
        <v>1840</v>
      </c>
      <c r="G452">
        <f>IF(COUNTIF(Data!$C$2:$C$1201,F452)&gt;0,1,0)</f>
        <v>0</v>
      </c>
    </row>
    <row r="453" spans="6:7">
      <c r="F453" t="s">
        <v>1841</v>
      </c>
      <c r="G453">
        <f>IF(COUNTIF(Data!$C$2:$C$1201,F453)&gt;0,1,0)</f>
        <v>0</v>
      </c>
    </row>
    <row r="454" spans="6:7">
      <c r="F454" t="s">
        <v>960</v>
      </c>
      <c r="G454">
        <f>IF(COUNTIF(Data!$C$2:$C$1201,F454)&gt;0,1,0)</f>
        <v>1</v>
      </c>
    </row>
    <row r="455" spans="6:7">
      <c r="F455" t="s">
        <v>1244</v>
      </c>
      <c r="G455">
        <f>IF(COUNTIF(Data!$C$2:$C$1201,F455)&gt;0,1,0)</f>
        <v>1</v>
      </c>
    </row>
    <row r="456" spans="6:7">
      <c r="F456" t="s">
        <v>1670</v>
      </c>
      <c r="G456">
        <f>IF(COUNTIF(Data!$C$2:$C$1201,F456)&gt;0,1,0)</f>
        <v>1</v>
      </c>
    </row>
    <row r="457" spans="6:7">
      <c r="F457" t="s">
        <v>577</v>
      </c>
      <c r="G457">
        <f>IF(COUNTIF(Data!$C$2:$C$1201,F457)&gt;0,1,0)</f>
        <v>1</v>
      </c>
    </row>
    <row r="458" spans="6:7">
      <c r="F458" t="s">
        <v>294</v>
      </c>
      <c r="G458">
        <f>IF(COUNTIF(Data!$C$2:$C$1201,F458)&gt;0,1,0)</f>
        <v>1</v>
      </c>
    </row>
    <row r="459" spans="6:7">
      <c r="F459" t="s">
        <v>1842</v>
      </c>
      <c r="G459">
        <f>IF(COUNTIF(Data!$C$2:$C$1201,F459)&gt;0,1,0)</f>
        <v>0</v>
      </c>
    </row>
    <row r="460" spans="6:7">
      <c r="F460" t="s">
        <v>1843</v>
      </c>
      <c r="G460">
        <f>IF(COUNTIF(Data!$C$2:$C$1201,F460)&gt;0,1,0)</f>
        <v>0</v>
      </c>
    </row>
    <row r="461" spans="6:7">
      <c r="F461" t="s">
        <v>440</v>
      </c>
      <c r="G461">
        <f>IF(COUNTIF(Data!$C$2:$C$1201,F461)&gt;0,1,0)</f>
        <v>1</v>
      </c>
    </row>
    <row r="462" spans="6:7">
      <c r="F462" t="s">
        <v>1521</v>
      </c>
      <c r="G462">
        <f>IF(COUNTIF(Data!$C$2:$C$1201,F462)&gt;0,1,0)</f>
        <v>1</v>
      </c>
    </row>
    <row r="463" spans="6:7">
      <c r="F463" t="s">
        <v>823</v>
      </c>
      <c r="G463">
        <f>IF(COUNTIF(Data!$C$2:$C$1201,F463)&gt;0,1,0)</f>
        <v>1</v>
      </c>
    </row>
    <row r="464" spans="6:7">
      <c r="F464" t="s">
        <v>772</v>
      </c>
      <c r="G464">
        <f>IF(COUNTIF(Data!$C$2:$C$1201,F464)&gt;0,1,0)</f>
        <v>1</v>
      </c>
    </row>
    <row r="465" spans="6:7">
      <c r="F465" t="s">
        <v>748</v>
      </c>
      <c r="G465">
        <f>IF(COUNTIF(Data!$C$2:$C$1201,F465)&gt;0,1,0)</f>
        <v>1</v>
      </c>
    </row>
    <row r="466" spans="6:7">
      <c r="F466" t="s">
        <v>560</v>
      </c>
      <c r="G466">
        <f>IF(COUNTIF(Data!$C$2:$C$1201,F466)&gt;0,1,0)</f>
        <v>1</v>
      </c>
    </row>
    <row r="467" spans="6:7">
      <c r="F467" t="s">
        <v>1844</v>
      </c>
      <c r="G467">
        <f>IF(COUNTIF(Data!$C$2:$C$1201,F467)&gt;0,1,0)</f>
        <v>0</v>
      </c>
    </row>
    <row r="468" spans="6:7">
      <c r="F468" t="s">
        <v>190</v>
      </c>
      <c r="G468">
        <f>IF(COUNTIF(Data!$C$2:$C$1201,F468)&gt;0,1,0)</f>
        <v>1</v>
      </c>
    </row>
    <row r="469" spans="6:7">
      <c r="F469" t="s">
        <v>451</v>
      </c>
      <c r="G469">
        <f>IF(COUNTIF(Data!$C$2:$C$1201,F469)&gt;0,1,0)</f>
        <v>1</v>
      </c>
    </row>
    <row r="470" spans="6:7">
      <c r="F470" t="s">
        <v>1058</v>
      </c>
      <c r="G470">
        <f>IF(COUNTIF(Data!$C$2:$C$1201,F470)&gt;0,1,0)</f>
        <v>1</v>
      </c>
    </row>
    <row r="471" spans="6:7">
      <c r="F471" t="s">
        <v>1247</v>
      </c>
      <c r="G471">
        <f>IF(COUNTIF(Data!$C$2:$C$1201,F471)&gt;0,1,0)</f>
        <v>1</v>
      </c>
    </row>
    <row r="472" spans="6:7">
      <c r="F472" t="s">
        <v>1475</v>
      </c>
      <c r="G472">
        <f>IF(COUNTIF(Data!$C$2:$C$1201,F472)&gt;0,1,0)</f>
        <v>1</v>
      </c>
    </row>
    <row r="473" spans="6:7">
      <c r="F473" t="s">
        <v>286</v>
      </c>
      <c r="G473">
        <f>IF(COUNTIF(Data!$C$2:$C$1201,F473)&gt;0,1,0)</f>
        <v>1</v>
      </c>
    </row>
    <row r="474" spans="6:7">
      <c r="F474" t="s">
        <v>579</v>
      </c>
      <c r="G474">
        <f>IF(COUNTIF(Data!$C$2:$C$1201,F474)&gt;0,1,0)</f>
        <v>1</v>
      </c>
    </row>
    <row r="475" spans="6:7">
      <c r="F475" t="s">
        <v>1380</v>
      </c>
      <c r="G475">
        <f>IF(COUNTIF(Data!$C$2:$C$1201,F475)&gt;0,1,0)</f>
        <v>1</v>
      </c>
    </row>
    <row r="476" spans="6:7">
      <c r="F476" t="s">
        <v>1304</v>
      </c>
      <c r="G476">
        <f>IF(COUNTIF(Data!$C$2:$C$1201,F476)&gt;0,1,0)</f>
        <v>1</v>
      </c>
    </row>
    <row r="477" spans="6:7">
      <c r="F477" t="s">
        <v>314</v>
      </c>
      <c r="G477">
        <f>IF(COUNTIF(Data!$C$2:$C$1201,F477)&gt;0,1,0)</f>
        <v>1</v>
      </c>
    </row>
    <row r="478" spans="6:7">
      <c r="F478" t="s">
        <v>497</v>
      </c>
      <c r="G478">
        <f>IF(COUNTIF(Data!$C$2:$C$1201,F478)&gt;0,1,0)</f>
        <v>1</v>
      </c>
    </row>
    <row r="479" spans="6:7">
      <c r="F479" t="s">
        <v>1091</v>
      </c>
      <c r="G479">
        <f>IF(COUNTIF(Data!$C$2:$C$1201,F479)&gt;0,1,0)</f>
        <v>1</v>
      </c>
    </row>
    <row r="480" spans="6:7">
      <c r="F480" t="s">
        <v>91</v>
      </c>
      <c r="G480">
        <f>IF(COUNTIF(Data!$C$2:$C$1201,F480)&gt;0,1,0)</f>
        <v>1</v>
      </c>
    </row>
    <row r="481" spans="6:7">
      <c r="F481" t="s">
        <v>1845</v>
      </c>
      <c r="G481">
        <f>IF(COUNTIF(Data!$C$2:$C$1201,F481)&gt;0,1,0)</f>
        <v>0</v>
      </c>
    </row>
    <row r="482" spans="6:7">
      <c r="F482" t="s">
        <v>260</v>
      </c>
      <c r="G482">
        <f>IF(COUNTIF(Data!$C$2:$C$1201,F482)&gt;0,1,0)</f>
        <v>1</v>
      </c>
    </row>
    <row r="483" spans="6:7">
      <c r="F483" t="s">
        <v>1026</v>
      </c>
      <c r="G483">
        <f>IF(COUNTIF(Data!$C$2:$C$1201,F483)&gt;0,1,0)</f>
        <v>1</v>
      </c>
    </row>
    <row r="484" spans="6:7">
      <c r="F484" t="s">
        <v>1008</v>
      </c>
      <c r="G484">
        <f>IF(COUNTIF(Data!$C$2:$C$1201,F484)&gt;0,1,0)</f>
        <v>1</v>
      </c>
    </row>
    <row r="485" spans="6:7">
      <c r="F485" t="s">
        <v>298</v>
      </c>
      <c r="G485">
        <f>IF(COUNTIF(Data!$C$2:$C$1201,F485)&gt;0,1,0)</f>
        <v>1</v>
      </c>
    </row>
    <row r="486" spans="6:7">
      <c r="F486" t="s">
        <v>534</v>
      </c>
      <c r="G486">
        <f>IF(COUNTIF(Data!$C$2:$C$1201,F486)&gt;0,1,0)</f>
        <v>1</v>
      </c>
    </row>
    <row r="487" spans="6:7">
      <c r="F487" t="s">
        <v>635</v>
      </c>
      <c r="G487">
        <f>IF(COUNTIF(Data!$C$2:$C$1201,F487)&gt;0,1,0)</f>
        <v>1</v>
      </c>
    </row>
    <row r="488" spans="6:7">
      <c r="F488" t="s">
        <v>632</v>
      </c>
      <c r="G488">
        <f>IF(COUNTIF(Data!$C$2:$C$1201,F488)&gt;0,1,0)</f>
        <v>1</v>
      </c>
    </row>
    <row r="489" spans="6:7">
      <c r="F489" t="s">
        <v>894</v>
      </c>
      <c r="G489">
        <f>IF(COUNTIF(Data!$C$2:$C$1201,F489)&gt;0,1,0)</f>
        <v>1</v>
      </c>
    </row>
    <row r="490" spans="6:7">
      <c r="F490" t="s">
        <v>542</v>
      </c>
      <c r="G490">
        <f>IF(COUNTIF(Data!$C$2:$C$1201,F490)&gt;0,1,0)</f>
        <v>1</v>
      </c>
    </row>
    <row r="491" spans="6:7">
      <c r="F491" t="s">
        <v>462</v>
      </c>
      <c r="G491">
        <f>IF(COUNTIF(Data!$C$2:$C$1201,F491)&gt;0,1,0)</f>
        <v>1</v>
      </c>
    </row>
    <row r="492" spans="6:7">
      <c r="F492" t="s">
        <v>794</v>
      </c>
      <c r="G492">
        <f>IF(COUNTIF(Data!$C$2:$C$1201,F492)&gt;0,1,0)</f>
        <v>1</v>
      </c>
    </row>
    <row r="493" spans="6:7">
      <c r="F493" t="s">
        <v>1846</v>
      </c>
      <c r="G493">
        <f>IF(COUNTIF(Data!$C$2:$C$1201,F493)&gt;0,1,0)</f>
        <v>0</v>
      </c>
    </row>
    <row r="494" spans="6:7">
      <c r="F494" t="s">
        <v>374</v>
      </c>
      <c r="G494">
        <f>IF(COUNTIF(Data!$C$2:$C$1201,F494)&gt;0,1,0)</f>
        <v>1</v>
      </c>
    </row>
    <row r="495" spans="6:7">
      <c r="F495" t="s">
        <v>318</v>
      </c>
      <c r="G495">
        <f>IF(COUNTIF(Data!$C$2:$C$1201,F495)&gt;0,1,0)</f>
        <v>1</v>
      </c>
    </row>
    <row r="496" spans="6:7">
      <c r="F496" t="s">
        <v>227</v>
      </c>
      <c r="G496">
        <f>IF(COUNTIF(Data!$C$2:$C$1201,F496)&gt;0,1,0)</f>
        <v>1</v>
      </c>
    </row>
    <row r="497" spans="6:7">
      <c r="F497" t="s">
        <v>282</v>
      </c>
      <c r="G497">
        <f>IF(COUNTIF(Data!$C$2:$C$1201,F497)&gt;0,1,0)</f>
        <v>1</v>
      </c>
    </row>
    <row r="498" spans="6:7">
      <c r="F498" t="s">
        <v>1847</v>
      </c>
      <c r="G498">
        <f>IF(COUNTIF(Data!$C$2:$C$1201,F498)&gt;0,1,0)</f>
        <v>0</v>
      </c>
    </row>
    <row r="499" spans="6:7">
      <c r="F499" t="s">
        <v>128</v>
      </c>
      <c r="G499">
        <f>IF(COUNTIF(Data!$C$2:$C$1201,F499)&gt;0,1,0)</f>
        <v>1</v>
      </c>
    </row>
    <row r="500" spans="6:7">
      <c r="F500" t="s">
        <v>1123</v>
      </c>
      <c r="G500">
        <f>IF(COUNTIF(Data!$C$2:$C$1201,F500)&gt;0,1,0)</f>
        <v>1</v>
      </c>
    </row>
    <row r="501" spans="6:7">
      <c r="F501" t="s">
        <v>1848</v>
      </c>
      <c r="G501">
        <f>IF(COUNTIF(Data!$C$2:$C$1201,F501)&gt;0,1,0)</f>
        <v>0</v>
      </c>
    </row>
    <row r="502" spans="6:7">
      <c r="F502" t="s">
        <v>692</v>
      </c>
      <c r="G502">
        <f>IF(COUNTIF(Data!$C$2:$C$1201,F502)&gt;0,1,0)</f>
        <v>1</v>
      </c>
    </row>
    <row r="503" spans="6:7">
      <c r="F503" t="s">
        <v>1849</v>
      </c>
      <c r="G503">
        <f>IF(COUNTIF(Data!$C$2:$C$1201,F503)&gt;0,1,0)</f>
        <v>0</v>
      </c>
    </row>
    <row r="504" spans="6:7">
      <c r="F504" t="s">
        <v>1104</v>
      </c>
      <c r="G504">
        <f>IF(COUNTIF(Data!$C$2:$C$1201,F504)&gt;0,1,0)</f>
        <v>1</v>
      </c>
    </row>
    <row r="505" spans="6:7">
      <c r="F505" t="s">
        <v>1463</v>
      </c>
      <c r="G505">
        <f>IF(COUNTIF(Data!$C$2:$C$1201,F505)&gt;0,1,0)</f>
        <v>1</v>
      </c>
    </row>
    <row r="506" spans="6:7">
      <c r="F506" t="s">
        <v>492</v>
      </c>
      <c r="G506">
        <f>IF(COUNTIF(Data!$C$2:$C$1201,F506)&gt;0,1,0)</f>
        <v>1</v>
      </c>
    </row>
    <row r="507" spans="6:7">
      <c r="F507" t="s">
        <v>231</v>
      </c>
      <c r="G507">
        <f>IF(COUNTIF(Data!$C$2:$C$1201,F507)&gt;0,1,0)</f>
        <v>1</v>
      </c>
    </row>
    <row r="508" spans="6:7">
      <c r="F508" t="s">
        <v>1677</v>
      </c>
      <c r="G508">
        <f>IF(COUNTIF(Data!$C$2:$C$1201,F508)&gt;0,1,0)</f>
        <v>1</v>
      </c>
    </row>
    <row r="509" spans="6:7">
      <c r="F509" t="s">
        <v>322</v>
      </c>
      <c r="G509">
        <f>IF(COUNTIF(Data!$C$2:$C$1201,F509)&gt;0,1,0)</f>
        <v>1</v>
      </c>
    </row>
    <row r="510" spans="6:7">
      <c r="F510" t="s">
        <v>312</v>
      </c>
      <c r="G510">
        <f>IF(COUNTIF(Data!$C$2:$C$1201,F510)&gt;0,1,0)</f>
        <v>1</v>
      </c>
    </row>
    <row r="511" spans="6:7">
      <c r="F511" t="s">
        <v>280</v>
      </c>
      <c r="G511">
        <f>IF(COUNTIF(Data!$C$2:$C$1201,F511)&gt;0,1,0)</f>
        <v>1</v>
      </c>
    </row>
    <row r="512" spans="6:7">
      <c r="F512" t="s">
        <v>616</v>
      </c>
      <c r="G512">
        <f>IF(COUNTIF(Data!$C$2:$C$1201,F512)&gt;0,1,0)</f>
        <v>1</v>
      </c>
    </row>
    <row r="513" spans="6:7">
      <c r="F513" t="s">
        <v>96</v>
      </c>
      <c r="G513">
        <f>IF(COUNTIF(Data!$C$2:$C$1201,F513)&gt;0,1,0)</f>
        <v>1</v>
      </c>
    </row>
    <row r="514" spans="6:7">
      <c r="F514" t="s">
        <v>540</v>
      </c>
      <c r="G514">
        <f>IF(COUNTIF(Data!$C$2:$C$1201,F514)&gt;0,1,0)</f>
        <v>1</v>
      </c>
    </row>
    <row r="515" spans="6:7">
      <c r="F515" t="s">
        <v>436</v>
      </c>
      <c r="G515">
        <f>IF(COUNTIF(Data!$C$2:$C$1201,F515)&gt;0,1,0)</f>
        <v>1</v>
      </c>
    </row>
    <row r="516" spans="6:7">
      <c r="F516" t="s">
        <v>1742</v>
      </c>
      <c r="G516">
        <f>IF(COUNTIF(Data!$C$2:$C$1201,F516)&gt;0,1,0)</f>
        <v>1</v>
      </c>
    </row>
    <row r="517" spans="6:7">
      <c r="F517" t="s">
        <v>192</v>
      </c>
      <c r="G517">
        <f>IF(COUNTIF(Data!$C$2:$C$1201,F517)&gt;0,1,0)</f>
        <v>1</v>
      </c>
    </row>
    <row r="518" spans="6:7">
      <c r="F518" t="s">
        <v>700</v>
      </c>
      <c r="G518">
        <f>IF(COUNTIF(Data!$C$2:$C$1201,F518)&gt;0,1,0)</f>
        <v>1</v>
      </c>
    </row>
    <row r="519" spans="6:7">
      <c r="F519" t="s">
        <v>1850</v>
      </c>
      <c r="G519">
        <f>IF(COUNTIF(Data!$C$2:$C$1201,F519)&gt;0,1,0)</f>
        <v>0</v>
      </c>
    </row>
    <row r="520" spans="6:7">
      <c r="F520" t="s">
        <v>882</v>
      </c>
      <c r="G520">
        <f>IF(COUNTIF(Data!$C$2:$C$1201,F520)&gt;0,1,0)</f>
        <v>1</v>
      </c>
    </row>
    <row r="521" spans="6:7">
      <c r="F521" t="s">
        <v>290</v>
      </c>
      <c r="G521">
        <f>IF(COUNTIF(Data!$C$2:$C$1201,F521)&gt;0,1,0)</f>
        <v>1</v>
      </c>
    </row>
    <row r="522" spans="6:7">
      <c r="F522" t="s">
        <v>531</v>
      </c>
      <c r="G522">
        <f>IF(COUNTIF(Data!$C$2:$C$1201,F522)&gt;0,1,0)</f>
        <v>1</v>
      </c>
    </row>
    <row r="523" spans="6:7">
      <c r="F523" t="s">
        <v>1851</v>
      </c>
      <c r="G523">
        <f>IF(COUNTIF(Data!$C$2:$C$1201,F523)&gt;0,1,0)</f>
        <v>0</v>
      </c>
    </row>
    <row r="524" spans="6:7">
      <c r="F524" t="s">
        <v>1028</v>
      </c>
      <c r="G524">
        <f>IF(COUNTIF(Data!$C$2:$C$1201,F524)&gt;0,1,0)</f>
        <v>1</v>
      </c>
    </row>
    <row r="525" spans="6:7">
      <c r="F525" t="s">
        <v>385</v>
      </c>
      <c r="G525">
        <f>IF(COUNTIF(Data!$C$2:$C$1201,F525)&gt;0,1,0)</f>
        <v>1</v>
      </c>
    </row>
    <row r="526" spans="6:7">
      <c r="F526" t="s">
        <v>780</v>
      </c>
      <c r="G526">
        <f>IF(COUNTIF(Data!$C$2:$C$1201,F526)&gt;0,1,0)</f>
        <v>1</v>
      </c>
    </row>
    <row r="527" spans="6:7">
      <c r="F527" t="s">
        <v>278</v>
      </c>
      <c r="G527">
        <f>IF(COUNTIF(Data!$C$2:$C$1201,F527)&gt;0,1,0)</f>
        <v>1</v>
      </c>
    </row>
    <row r="528" spans="6:7">
      <c r="F528" t="s">
        <v>717</v>
      </c>
      <c r="G528">
        <f>IF(COUNTIF(Data!$C$2:$C$1201,F528)&gt;0,1,0)</f>
        <v>1</v>
      </c>
    </row>
    <row r="529" spans="6:7">
      <c r="F529" t="s">
        <v>685</v>
      </c>
      <c r="G529">
        <f>IF(COUNTIF(Data!$C$2:$C$1201,F529)&gt;0,1,0)</f>
        <v>1</v>
      </c>
    </row>
    <row r="530" spans="6:7">
      <c r="F530" t="s">
        <v>1017</v>
      </c>
      <c r="G530">
        <f>IF(COUNTIF(Data!$C$2:$C$1201,F530)&gt;0,1,0)</f>
        <v>1</v>
      </c>
    </row>
    <row r="531" spans="6:7">
      <c r="F531" t="s">
        <v>1432</v>
      </c>
      <c r="G531">
        <f>IF(COUNTIF(Data!$C$2:$C$1201,F531)&gt;0,1,0)</f>
        <v>1</v>
      </c>
    </row>
    <row r="532" spans="6:7">
      <c r="F532" t="s">
        <v>1852</v>
      </c>
      <c r="G532">
        <f>IF(COUNTIF(Data!$C$2:$C$1201,F532)&gt;0,1,0)</f>
        <v>0</v>
      </c>
    </row>
    <row r="533" spans="6:7">
      <c r="F533" t="s">
        <v>170</v>
      </c>
      <c r="G533">
        <f>IF(COUNTIF(Data!$C$2:$C$1201,F533)&gt;0,1,0)</f>
        <v>1</v>
      </c>
    </row>
    <row r="534" spans="6:7">
      <c r="F534" t="s">
        <v>874</v>
      </c>
      <c r="G534">
        <f>IF(COUNTIF(Data!$C$2:$C$1201,F534)&gt;0,1,0)</f>
        <v>1</v>
      </c>
    </row>
    <row r="535" spans="6:7">
      <c r="F535" t="s">
        <v>1853</v>
      </c>
      <c r="G535">
        <f>IF(COUNTIF(Data!$C$2:$C$1201,F535)&gt;0,1,0)</f>
        <v>0</v>
      </c>
    </row>
    <row r="536" spans="6:7">
      <c r="F536" t="s">
        <v>841</v>
      </c>
      <c r="G536">
        <f>IF(COUNTIF(Data!$C$2:$C$1201,F536)&gt;0,1,0)</f>
        <v>1</v>
      </c>
    </row>
    <row r="537" spans="6:7">
      <c r="F537" t="s">
        <v>620</v>
      </c>
      <c r="G537">
        <f>IF(COUNTIF(Data!$C$2:$C$1201,F537)&gt;0,1,0)</f>
        <v>1</v>
      </c>
    </row>
    <row r="538" spans="6:7">
      <c r="F538" t="s">
        <v>1854</v>
      </c>
      <c r="G538">
        <f>IF(COUNTIF(Data!$C$2:$C$1201,F538)&gt;0,1,0)</f>
        <v>0</v>
      </c>
    </row>
    <row r="539" spans="6:7">
      <c r="F539" t="s">
        <v>807</v>
      </c>
      <c r="G539">
        <f>IF(COUNTIF(Data!$C$2:$C$1201,F539)&gt;0,1,0)</f>
        <v>1</v>
      </c>
    </row>
    <row r="540" spans="6:7">
      <c r="F540" t="s">
        <v>387</v>
      </c>
      <c r="G540">
        <f>IF(COUNTIF(Data!$C$2:$C$1201,F540)&gt;0,1,0)</f>
        <v>1</v>
      </c>
    </row>
    <row r="541" spans="6:7">
      <c r="F541" t="s">
        <v>449</v>
      </c>
      <c r="G541">
        <f>IF(COUNTIF(Data!$C$2:$C$1201,F541)&gt;0,1,0)</f>
        <v>1</v>
      </c>
    </row>
    <row r="542" spans="6:7">
      <c r="F542" t="s">
        <v>143</v>
      </c>
      <c r="G542">
        <f>IF(COUNTIF(Data!$C$2:$C$1201,F542)&gt;0,1,0)</f>
        <v>1</v>
      </c>
    </row>
    <row r="543" spans="6:7">
      <c r="F543" t="s">
        <v>1397</v>
      </c>
      <c r="G543">
        <f>IF(COUNTIF(Data!$C$2:$C$1201,F543)&gt;0,1,0)</f>
        <v>1</v>
      </c>
    </row>
    <row r="544" spans="6:7">
      <c r="F544" t="s">
        <v>239</v>
      </c>
      <c r="G544">
        <f>IF(COUNTIF(Data!$C$2:$C$1201,F544)&gt;0,1,0)</f>
        <v>1</v>
      </c>
    </row>
    <row r="545" spans="6:7">
      <c r="F545" t="s">
        <v>1032</v>
      </c>
      <c r="G545">
        <f>IF(COUNTIF(Data!$C$2:$C$1201,F545)&gt;0,1,0)</f>
        <v>1</v>
      </c>
    </row>
    <row r="546" spans="6:7">
      <c r="F546" t="s">
        <v>104</v>
      </c>
      <c r="G546">
        <f>IF(COUNTIF(Data!$C$2:$C$1201,F546)&gt;0,1,0)</f>
        <v>1</v>
      </c>
    </row>
    <row r="547" spans="6:7">
      <c r="F547" t="s">
        <v>953</v>
      </c>
      <c r="G547">
        <f>IF(COUNTIF(Data!$C$2:$C$1201,F547)&gt;0,1,0)</f>
        <v>1</v>
      </c>
    </row>
    <row r="548" spans="6:7">
      <c r="F548" t="s">
        <v>1855</v>
      </c>
      <c r="G548">
        <f>IF(COUNTIF(Data!$C$2:$C$1201,F548)&gt;0,1,0)</f>
        <v>0</v>
      </c>
    </row>
    <row r="549" spans="6:7">
      <c r="F549" t="s">
        <v>1480</v>
      </c>
      <c r="G549">
        <f>IF(COUNTIF(Data!$C$2:$C$1201,F549)&gt;0,1,0)</f>
        <v>1</v>
      </c>
    </row>
    <row r="550" spans="6:7">
      <c r="F550" t="s">
        <v>67</v>
      </c>
      <c r="G550">
        <f>IF(COUNTIF(Data!$C$2:$C$1201,F550)&gt;0,1,0)</f>
        <v>1</v>
      </c>
    </row>
    <row r="551" spans="6:7">
      <c r="F551" t="s">
        <v>977</v>
      </c>
      <c r="G551">
        <f>IF(COUNTIF(Data!$C$2:$C$1201,F551)&gt;0,1,0)</f>
        <v>1</v>
      </c>
    </row>
    <row r="552" spans="6:7">
      <c r="F552" t="s">
        <v>203</v>
      </c>
      <c r="G552">
        <f>IF(COUNTIF(Data!$C$2:$C$1201,F552)&gt;0,1,0)</f>
        <v>1</v>
      </c>
    </row>
    <row r="553" spans="6:7">
      <c r="F553" t="s">
        <v>327</v>
      </c>
      <c r="G553">
        <f>IF(COUNTIF(Data!$C$2:$C$1201,F553)&gt;0,1,0)</f>
        <v>1</v>
      </c>
    </row>
    <row r="554" spans="6:7">
      <c r="F554" t="s">
        <v>830</v>
      </c>
      <c r="G554">
        <f>IF(COUNTIF(Data!$C$2:$C$1201,F554)&gt;0,1,0)</f>
        <v>1</v>
      </c>
    </row>
    <row r="555" spans="6:7">
      <c r="F555" t="s">
        <v>1620</v>
      </c>
      <c r="G555">
        <f>IF(COUNTIF(Data!$C$2:$C$1201,F555)&gt;0,1,0)</f>
        <v>1</v>
      </c>
    </row>
    <row r="556" spans="6:7">
      <c r="F556" t="s">
        <v>802</v>
      </c>
      <c r="G556">
        <f>IF(COUNTIF(Data!$C$2:$C$1201,F556)&gt;0,1,0)</f>
        <v>1</v>
      </c>
    </row>
    <row r="557" spans="6:7">
      <c r="F557" t="s">
        <v>672</v>
      </c>
      <c r="G557">
        <f>IF(COUNTIF(Data!$C$2:$C$1201,F557)&gt;0,1,0)</f>
        <v>1</v>
      </c>
    </row>
    <row r="558" spans="6:7">
      <c r="F558" t="s">
        <v>836</v>
      </c>
      <c r="G558">
        <f>IF(COUNTIF(Data!$C$2:$C$1201,F558)&gt;0,1,0)</f>
        <v>1</v>
      </c>
    </row>
    <row r="559" spans="6:7">
      <c r="F559" t="s">
        <v>152</v>
      </c>
      <c r="G559">
        <f>IF(COUNTIF(Data!$C$2:$C$1201,F559)&gt;0,1,0)</f>
        <v>1</v>
      </c>
    </row>
    <row r="560" spans="6:7">
      <c r="F560" t="s">
        <v>707</v>
      </c>
      <c r="G560">
        <f>IF(COUNTIF(Data!$C$2:$C$1201,F560)&gt;0,1,0)</f>
        <v>1</v>
      </c>
    </row>
    <row r="561" spans="6:7">
      <c r="F561" t="s">
        <v>722</v>
      </c>
      <c r="G561">
        <f>IF(COUNTIF(Data!$C$2:$C$1201,F561)&gt;0,1,0)</f>
        <v>1</v>
      </c>
    </row>
    <row r="562" spans="6:7">
      <c r="F562" t="s">
        <v>360</v>
      </c>
      <c r="G562">
        <f>IF(COUNTIF(Data!$C$2:$C$1201,F562)&gt;0,1,0)</f>
        <v>1</v>
      </c>
    </row>
    <row r="563" spans="6:7">
      <c r="F563" t="s">
        <v>832</v>
      </c>
      <c r="G563">
        <f>IF(COUNTIF(Data!$C$2:$C$1201,F563)&gt;0,1,0)</f>
        <v>1</v>
      </c>
    </row>
    <row r="564" spans="6:7">
      <c r="F564" t="s">
        <v>122</v>
      </c>
      <c r="G564">
        <f>IF(COUNTIF(Data!$C$2:$C$1201,F564)&gt;0,1,0)</f>
        <v>1</v>
      </c>
    </row>
    <row r="565" spans="6:7">
      <c r="F565" t="s">
        <v>284</v>
      </c>
      <c r="G565">
        <f>IF(COUNTIF(Data!$C$2:$C$1201,F565)&gt;0,1,0)</f>
        <v>1</v>
      </c>
    </row>
    <row r="566" spans="6:7">
      <c r="F566" t="s">
        <v>1856</v>
      </c>
      <c r="G566">
        <f>IF(COUNTIF(Data!$C$2:$C$1201,F566)&gt;0,1,0)</f>
        <v>0</v>
      </c>
    </row>
    <row r="567" spans="6:7">
      <c r="F567" t="s">
        <v>1151</v>
      </c>
      <c r="G567">
        <f>IF(COUNTIF(Data!$C$2:$C$1201,F567)&gt;0,1,0)</f>
        <v>1</v>
      </c>
    </row>
    <row r="568" spans="6:7">
      <c r="F568" t="s">
        <v>414</v>
      </c>
      <c r="G568">
        <f>IF(COUNTIF(Data!$C$2:$C$1201,F568)&gt;0,1,0)</f>
        <v>1</v>
      </c>
    </row>
    <row r="569" spans="6:7">
      <c r="F569" t="s">
        <v>1183</v>
      </c>
      <c r="G569">
        <f>IF(COUNTIF(Data!$C$2:$C$1201,F569)&gt;0,1,0)</f>
        <v>1</v>
      </c>
    </row>
    <row r="570" spans="6:7">
      <c r="F570" t="s">
        <v>1417</v>
      </c>
      <c r="G570">
        <f>IF(COUNTIF(Data!$C$2:$C$1201,F570)&gt;0,1,0)</f>
        <v>1</v>
      </c>
    </row>
    <row r="571" spans="6:7">
      <c r="F571" t="s">
        <v>330</v>
      </c>
      <c r="G571">
        <f>IF(COUNTIF(Data!$C$2:$C$1201,F571)&gt;0,1,0)</f>
        <v>1</v>
      </c>
    </row>
    <row r="572" spans="6:7">
      <c r="F572" t="s">
        <v>676</v>
      </c>
      <c r="G572">
        <f>IF(COUNTIF(Data!$C$2:$C$1201,F572)&gt;0,1,0)</f>
        <v>1</v>
      </c>
    </row>
    <row r="573" spans="6:7">
      <c r="F573" t="s">
        <v>606</v>
      </c>
      <c r="G573">
        <f>IF(COUNTIF(Data!$C$2:$C$1201,F573)&gt;0,1,0)</f>
        <v>1</v>
      </c>
    </row>
    <row r="574" spans="6:7">
      <c r="F574" t="s">
        <v>1254</v>
      </c>
      <c r="G574">
        <f>IF(COUNTIF(Data!$C$2:$C$1201,F574)&gt;0,1,0)</f>
        <v>1</v>
      </c>
    </row>
    <row r="575" spans="6:7">
      <c r="F575" t="s">
        <v>334</v>
      </c>
      <c r="G575">
        <f>IF(COUNTIF(Data!$C$2:$C$1201,F575)&gt;0,1,0)</f>
        <v>1</v>
      </c>
    </row>
    <row r="576" spans="6:7">
      <c r="F576" t="s">
        <v>370</v>
      </c>
      <c r="G576">
        <f>IF(COUNTIF(Data!$C$2:$C$1201,F576)&gt;0,1,0)</f>
        <v>1</v>
      </c>
    </row>
    <row r="577" spans="6:7">
      <c r="F577" t="s">
        <v>1857</v>
      </c>
      <c r="G577">
        <f>IF(COUNTIF(Data!$C$2:$C$1201,F577)&gt;0,1,0)</f>
        <v>0</v>
      </c>
    </row>
    <row r="578" spans="6:7">
      <c r="F578" t="s">
        <v>207</v>
      </c>
      <c r="G578">
        <f>IF(COUNTIF(Data!$C$2:$C$1201,F578)&gt;0,1,0)</f>
        <v>1</v>
      </c>
    </row>
    <row r="579" spans="6:7">
      <c r="F579" t="s">
        <v>1190</v>
      </c>
      <c r="G579">
        <f>IF(COUNTIF(Data!$C$2:$C$1201,F579)&gt;0,1,0)</f>
        <v>1</v>
      </c>
    </row>
    <row r="580" spans="6:7">
      <c r="F580" t="s">
        <v>1213</v>
      </c>
      <c r="G580">
        <f>IF(COUNTIF(Data!$C$2:$C$1201,F580)&gt;0,1,0)</f>
        <v>1</v>
      </c>
    </row>
    <row r="581" spans="6:7">
      <c r="F581" t="s">
        <v>1858</v>
      </c>
      <c r="G581">
        <f>IF(COUNTIF(Data!$C$2:$C$1201,F581)&gt;0,1,0)</f>
        <v>0</v>
      </c>
    </row>
    <row r="582" spans="6:7">
      <c r="F582" t="s">
        <v>381</v>
      </c>
      <c r="G582">
        <f>IF(COUNTIF(Data!$C$2:$C$1201,F582)&gt;0,1,0)</f>
        <v>1</v>
      </c>
    </row>
    <row r="583" spans="6:7">
      <c r="F583" t="s">
        <v>176</v>
      </c>
      <c r="G583">
        <f>IF(COUNTIF(Data!$C$2:$C$1201,F583)&gt;0,1,0)</f>
        <v>1</v>
      </c>
    </row>
    <row r="584" spans="6:7">
      <c r="F584" t="s">
        <v>1708</v>
      </c>
      <c r="G584">
        <f>IF(COUNTIF(Data!$C$2:$C$1201,F584)&gt;0,1,0)</f>
        <v>1</v>
      </c>
    </row>
    <row r="585" spans="6:7">
      <c r="F585" t="s">
        <v>114</v>
      </c>
      <c r="G585">
        <f>IF(COUNTIF(Data!$C$2:$C$1201,F585)&gt;0,1,0)</f>
        <v>1</v>
      </c>
    </row>
    <row r="586" spans="6:7">
      <c r="F586" t="s">
        <v>855</v>
      </c>
      <c r="G586">
        <f>IF(COUNTIF(Data!$C$2:$C$1201,F586)&gt;0,1,0)</f>
        <v>1</v>
      </c>
    </row>
    <row r="587" spans="6:7">
      <c r="F587" t="s">
        <v>814</v>
      </c>
      <c r="G587">
        <f>IF(COUNTIF(Data!$C$2:$C$1201,F587)&gt;0,1,0)</f>
        <v>1</v>
      </c>
    </row>
    <row r="588" spans="6:7">
      <c r="F588" t="s">
        <v>1256</v>
      </c>
      <c r="G588">
        <f>IF(COUNTIF(Data!$C$2:$C$1201,F588)&gt;0,1,0)</f>
        <v>1</v>
      </c>
    </row>
    <row r="589" spans="6:7">
      <c r="F589" t="s">
        <v>1859</v>
      </c>
      <c r="G589">
        <f>IF(COUNTIF(Data!$C$2:$C$1201,F589)&gt;0,1,0)</f>
        <v>0</v>
      </c>
    </row>
    <row r="590" spans="6:7">
      <c r="F590" t="s">
        <v>395</v>
      </c>
      <c r="G590">
        <f>IF(COUNTIF(Data!$C$2:$C$1201,F590)&gt;0,1,0)</f>
        <v>1</v>
      </c>
    </row>
    <row r="591" spans="6:7">
      <c r="F591" t="s">
        <v>1144</v>
      </c>
      <c r="G591">
        <f>IF(COUNTIF(Data!$C$2:$C$1201,F591)&gt;0,1,0)</f>
        <v>1</v>
      </c>
    </row>
    <row r="592" spans="6:7">
      <c r="F592" t="s">
        <v>70</v>
      </c>
      <c r="G592">
        <f>IF(COUNTIF(Data!$C$2:$C$1201,F592)&gt;0,1,0)</f>
        <v>1</v>
      </c>
    </row>
    <row r="593" spans="6:7">
      <c r="F593" t="s">
        <v>581</v>
      </c>
      <c r="G593">
        <f>IF(COUNTIF(Data!$C$2:$C$1201,F593)&gt;0,1,0)</f>
        <v>1</v>
      </c>
    </row>
    <row r="594" spans="6:7">
      <c r="F594" t="s">
        <v>1363</v>
      </c>
      <c r="G594">
        <f>IF(COUNTIF(Data!$C$2:$C$1201,F594)&gt;0,1,0)</f>
        <v>1</v>
      </c>
    </row>
    <row r="595" spans="6:7">
      <c r="F595" t="s">
        <v>1860</v>
      </c>
      <c r="G595">
        <f>IF(COUNTIF(Data!$C$2:$C$1201,F595)&gt;0,1,0)</f>
        <v>0</v>
      </c>
    </row>
    <row r="596" spans="6:7">
      <c r="F596" t="s">
        <v>1601</v>
      </c>
      <c r="G596">
        <f>IF(COUNTIF(Data!$C$2:$C$1201,F596)&gt;0,1,0)</f>
        <v>1</v>
      </c>
    </row>
    <row r="597" spans="6:7">
      <c r="F597" t="s">
        <v>785</v>
      </c>
      <c r="G597">
        <f>IF(COUNTIF(Data!$C$2:$C$1201,F597)&gt;0,1,0)</f>
        <v>1</v>
      </c>
    </row>
    <row r="598" spans="6:7">
      <c r="F598" t="s">
        <v>135</v>
      </c>
      <c r="G598">
        <f>IF(COUNTIF(Data!$C$2:$C$1201,F598)&gt;0,1,0)</f>
        <v>1</v>
      </c>
    </row>
    <row r="599" spans="6:7">
      <c r="F599" t="s">
        <v>797</v>
      </c>
      <c r="G599">
        <f>IF(COUNTIF(Data!$C$2:$C$1201,F599)&gt;0,1,0)</f>
        <v>1</v>
      </c>
    </row>
    <row r="600" spans="6:7">
      <c r="F600" t="s">
        <v>273</v>
      </c>
      <c r="G600">
        <f>IF(COUNTIF(Data!$C$2:$C$1201,F600)&gt;0,1,0)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Yashwanth Reddy</dc:creator>
  <cp:lastModifiedBy>B. Yashwanth Reddy</cp:lastModifiedBy>
  <dcterms:created xsi:type="dcterms:W3CDTF">2026-09-07T14:53:25Z</dcterms:created>
  <dcterms:modified xsi:type="dcterms:W3CDTF">2026-09-07T14:53:25Z</dcterms:modified>
</cp:coreProperties>
</file>